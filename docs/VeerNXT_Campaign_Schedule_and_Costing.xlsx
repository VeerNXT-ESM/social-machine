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ummary" sheetId="1" state="visible" r:id="rId3"/>
    <sheet name="Themes" sheetId="2" state="visible" r:id="rId4"/>
    <sheet name="Pillars" sheetId="3" state="visible" r:id="rId5"/>
    <sheet name="Schedule" sheetId="4" state="visible" r:id="rId6"/>
    <sheet name="Cadence" sheetId="5" state="visible" r:id="rId7"/>
    <sheet name="Costing" sheetId="6" state="visible" r:id="rId8"/>
    <sheet name="Assumptions" sheetId="7" state="visible" r:id="rId9"/>
  </sheets>
  <definedNames>
    <definedName function="false" hidden="true" localSheetId="3" name="_xlnm._FilterDatabase" vbProcedure="false">Schedule!$A$4:$M$68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<sst xmlns="http://schemas.openxmlformats.org/spreadsheetml/2006/main" count="463" uniqueCount="232">
  <si>
    <t xml:space="preserve">VeerNXT Social - Campaign Plan &amp; Costing</t>
  </si>
  <si>
    <t xml:space="preserve">Draft for review. Audience: Indian Ex-Service Men (ESM), families and employers. Channels: LinkedIn, X, Instagram, Facebook.</t>
  </si>
  <si>
    <t xml:space="preserve">At a glance</t>
  </si>
  <si>
    <t xml:space="preserve">Start date</t>
  </si>
  <si>
    <t xml:space="preserve">End date (last post)</t>
  </si>
  <si>
    <t xml:space="preserve">Duration (weeks)</t>
  </si>
  <si>
    <t xml:space="preserve">Content items (themes)</t>
  </si>
  <si>
    <t xml:space="preserve">Total posts across all platforms</t>
  </si>
  <si>
    <t xml:space="preserve">Posts per week (all platforms)</t>
  </si>
  <si>
    <t xml:space="preserve">Reduction vs posting daily on every platform</t>
  </si>
  <si>
    <t xml:space="preserve">Cadence per platform (posts per week)</t>
  </si>
  <si>
    <t xml:space="preserve">LinkedIn</t>
  </si>
  <si>
    <t xml:space="preserve">X</t>
  </si>
  <si>
    <t xml:space="preserve">Instagram</t>
  </si>
  <si>
    <t xml:space="preserve">Facebook</t>
  </si>
  <si>
    <t xml:space="preserve">Estimated AI generation cost (INR)</t>
  </si>
  <si>
    <t xml:space="preserve">Low</t>
  </si>
  <si>
    <t xml:space="preserve">Expected</t>
  </si>
  <si>
    <t xml:space="preserve">High</t>
  </si>
  <si>
    <t xml:space="preserve">Total campaign</t>
  </si>
  <si>
    <t xml:space="preserve">Per content item</t>
  </si>
  <si>
    <t xml:space="preserve">Per post</t>
  </si>
  <si>
    <t xml:space="preserve">For approval / to confirm</t>
  </si>
  <si>
    <t xml:space="preserve">1. Audience wording: the website is written largely for Agniveers, but the social brand rules exclude that word. Decide whether social posts stay ESM/veteran-only.</t>
  </si>
  <si>
    <t xml:space="preserve">2. Themes, order and pillars (Themes sheet) - approve, replace or reorder.</t>
  </si>
  <si>
    <t xml:space="preserve">3. Claims to verify before posting (last column of the Themes sheet): "Government Approved", SEBI-compliant, NISM-certified, "500+ exams", community and veteran counts.</t>
  </si>
  <si>
    <t xml:space="preserve">4. Features not yet live or fully stocked: Legal Aid Cell ("demonstration"), WhatsApp alerts, Rewards catalogue, app-store listings.</t>
  </si>
  <si>
    <t xml:space="preserve">5. Start date, posting days and IST posting times; whether all four platforms are needed.</t>
  </si>
  <si>
    <t xml:space="preserve">6. Publishing method: currently Mock / Manual; native platform integration and any scheduler are not yet priced.</t>
  </si>
  <si>
    <t xml:space="preserve">7. Not costed: paid promotion, staff time, hosting, GST and bank charges.</t>
  </si>
  <si>
    <t xml:space="preserve">8. All posts follow brand rules: "Ex-Service Men (ESM)" terminology, no invented facts, statistics or testimonials; every post is reviewed and approved before publishing.</t>
  </si>
  <si>
    <t xml:space="preserve">Cost figures are estimates; see Costing and Assumptions sheets for basis and sources.</t>
  </si>
  <si>
    <t xml:space="preserve">Campaign Themes</t>
  </si>
  <si>
    <t xml:space="preserve">Umbrella theme: "Your Second Mission". A journey from awareness to joining. Built from what the VeerNXT site and app actually do. Edit the blue cells; the Schedule updates.</t>
  </si>
  <si>
    <t xml:space="preserve">Item #</t>
  </si>
  <si>
    <t xml:space="preserve">Week</t>
  </si>
  <si>
    <t xml:space="preserve">Phase</t>
  </si>
  <si>
    <t xml:space="preserve">Pillar</t>
  </si>
  <si>
    <t xml:space="preserve">Theme</t>
  </si>
  <si>
    <t xml:space="preserve">Key message (draft)</t>
  </si>
  <si>
    <t xml:space="preserve">Where it comes from</t>
  </si>
  <si>
    <t xml:space="preserve">Verify before posting</t>
  </si>
  <si>
    <t xml:space="preserve">Awareness</t>
  </si>
  <si>
    <t xml:space="preserve">P0 The Second Mission</t>
  </si>
  <si>
    <t xml:space="preserve">Your second mission begins here</t>
  </si>
  <si>
    <t xml:space="preserve">VeerNXT is a veteran-led platform helping Ex-Service Men (ESM) move into civilian and government careers: jobs, study tools, finance and support in one place.</t>
  </si>
  <si>
    <t xml:space="preserve">Site hero and "Why VeerNXT" copy; stakeholder talking points.</t>
  </si>
  <si>
    <t xml:space="preserve">"Government of India Approved" (older hero) vs "Aligned" (landing) - use neither until confirmed. "First Defence Reintegration EdTech" needs proof.</t>
  </si>
  <si>
    <t xml:space="preserve">P1 Your Skills, Translated</t>
  </si>
  <si>
    <t xml:space="preserve">Your service skills are civilian skills</t>
  </si>
  <si>
    <t xml:space="preserve">Trade, rank and education translate into a civilian skill profile. Discipline and leadership are only part of the story.</t>
  </si>
  <si>
    <t xml:space="preserve">Profiling flow; stakeholder talking points, section 3.</t>
  </si>
  <si>
    <t xml:space="preserve">None - no statistics used.</t>
  </si>
  <si>
    <t xml:space="preserve">Discover</t>
  </si>
  <si>
    <t xml:space="preserve">Thirty seconds to your profile</t>
  </si>
  <si>
    <t xml:space="preserve">Tell us your education, goals and preferred locations. VeerNXT recommends your best-fit exams and next steps.</t>
  </si>
  <si>
    <t xml:space="preserve">How VeerNXT Works: Profile Scan and Mission Assignment steps.</t>
  </si>
  <si>
    <t xml:space="preserve">Confirm the "30 seconds" timing against the current profiling flow.</t>
  </si>
  <si>
    <t xml:space="preserve">Your Veer Score: know where you stand</t>
  </si>
  <si>
    <t xml:space="preserve">One clear picture of your strengths and your best-fit exam matches, so you know where to start.</t>
  </si>
  <si>
    <t xml:space="preserve">Stakeholder talking points; Dashboard "Top Exam Matches".</t>
  </si>
  <si>
    <t xml:space="preserve">Describe the score in words only; do not quote score numbers.</t>
  </si>
  <si>
    <t xml:space="preserve">P2 Every Opportunity, One Place</t>
  </si>
  <si>
    <t xml:space="preserve">Every new job, one place</t>
  </si>
  <si>
    <t xml:space="preserve">New government jobs from 10+ portals in one app, with closed listings removed daily.</t>
  </si>
  <si>
    <t xml:space="preserve">Stakeholder talking points, section 2 (jobs scraper).</t>
  </si>
  <si>
    <t xml:space="preserve">Confirm current portal count and daily refresh before quoting.</t>
  </si>
  <si>
    <t xml:space="preserve">Never miss a benefit meant for you</t>
  </si>
  <si>
    <t xml:space="preserve">Ex-servicemen quotas, age relaxations and bonus marks are highlighted on each job, so you do not miss what is built for you.</t>
  </si>
  <si>
    <t xml:space="preserve">Stakeholder talking points, section 2; eligibility engine.</t>
  </si>
  <si>
    <t xml:space="preserve">Keep to ESM benefits; agree wording with the content team so it is accurate per notification.</t>
  </si>
  <si>
    <t xml:space="preserve">Prepare</t>
  </si>
  <si>
    <t xml:space="preserve">P3 Prepare to Win</t>
  </si>
  <si>
    <t xml:space="preserve">From target job to study plan</t>
  </si>
  <si>
    <t xml:space="preserve">Pick a career such as Bank Officer, Railways or State Police and get its syllabus, previous-year papers, guides and quizzes.</t>
  </si>
  <si>
    <t xml:space="preserve">Learning Center, Exam Syllabus, PYQ Center, Quiz Center.</t>
  </si>
  <si>
    <t xml:space="preserve">Site says "500+ exams"; the catalogue holds more. Reconcile before quoting a number. Only feature exams with content live.</t>
  </si>
  <si>
    <t xml:space="preserve">Train like it is your PT schedule</t>
  </si>
  <si>
    <t xml:space="preserve">Daily tasks, lessons and practice tests, planned like your PT routine.</t>
  </si>
  <si>
    <t xml:space="preserve">Workflow step 3 (Training Plan); Today Objective card.</t>
  </si>
  <si>
    <t xml:space="preserve">Content coverage varies by state and UT; show exams that are actually populated.</t>
  </si>
  <si>
    <t xml:space="preserve">Career Paths</t>
  </si>
  <si>
    <t xml:space="preserve">P4 Beyond Government</t>
  </si>
  <si>
    <t xml:space="preserve">Beyond government: the private sector path</t>
  </si>
  <si>
    <t xml:space="preserve">A managed route to private-sector roles: a verified service profile, opportunities screened by VeerNXT HR, and a simple "I am interested" or "Not for me".</t>
  </si>
  <si>
    <t xml:space="preserve">Private Sector module (home, profile, opportunities).</t>
  </si>
  <si>
    <t xml:space="preserve">WhatsApp notifications were still simulated at last status report; do not promise alerts.</t>
  </si>
  <si>
    <t xml:space="preserve">A CV that speaks civilian</t>
  </si>
  <si>
    <t xml:space="preserve">Present your service experience in the terms employers use, with the CV Builder.</t>
  </si>
  <si>
    <t xml:space="preserve">CV Builder page.</t>
  </si>
  <si>
    <t xml:space="preserve">Check the live CV Builder features before describing them.</t>
  </si>
  <si>
    <t xml:space="preserve">P5 Hire Veterans</t>
  </si>
  <si>
    <t xml:space="preserve">For employers: pre-verified veteran talent</t>
  </si>
  <si>
    <t xml:space="preserve">The Employer Portal lets employers post requirements and find pre-verified veteran candidates.</t>
  </si>
  <si>
    <t xml:space="preserve">Employer portal (onboarding, dashboard, post job, find candidates).</t>
  </si>
  <si>
    <t xml:space="preserve">Landing copy says employers contact candidates directly; the Private Sector module is deliberately HR-mediated. Align the wording first.</t>
  </si>
  <si>
    <t xml:space="preserve">What a service record tells an employer</t>
  </si>
  <si>
    <t xml:space="preserve">Discipline, leadership and teamwork under pressure are demonstrated, not claimed.</t>
  </si>
  <si>
    <t xml:space="preserve">Brand voice; general editorial point.</t>
  </si>
  <si>
    <t xml:space="preserve">Secure &amp; Support</t>
  </si>
  <si>
    <t xml:space="preserve">P6 Secure Your Future</t>
  </si>
  <si>
    <t xml:space="preserve">Plan your separation corpus</t>
  </si>
  <si>
    <t xml:space="preserve">Free calculators for SIP, step-up SIP, cost of delay, emergency fund and retirement, to plan before you invest.</t>
  </si>
  <si>
    <t xml:space="preserve">Financial Guidance page and calculators.</t>
  </si>
  <si>
    <t xml:space="preserve">Add "not investment advice". Claims such as SEBI-compliant or NISM-certified planners need documentary proof.</t>
  </si>
  <si>
    <t xml:space="preserve">P7 Stand By You</t>
  </si>
  <si>
    <t xml:space="preserve">Legal help, organised: the Legal Aid Cell</t>
  </si>
  <si>
    <t xml:space="preserve">Describe your situation in plain words; a coordinator organises your documents and connects you with a suitable legal professional. This is not legal advice.</t>
  </si>
  <si>
    <t xml:space="preserve">Legal Aid Cell page.</t>
  </si>
  <si>
    <t xml:space="preserve">The page still says "demonstration". Confirm it is live before promoting. Sensitive topic: no outcome promises, no case stories.</t>
  </si>
  <si>
    <t xml:space="preserve">Join</t>
  </si>
  <si>
    <t xml:space="preserve">P8 Stronger Together</t>
  </si>
  <si>
    <t xml:space="preserve">You are not doing this alone</t>
  </si>
  <si>
    <t xml:space="preserve">Connect with fellow veterans and mentors, and earn points for using VeerNXT.</t>
  </si>
  <si>
    <t xml:space="preserve">Connect &amp; Thrive; Network; Rewards Center.</t>
  </si>
  <si>
    <t xml:space="preserve">Do not promote rewards until the catalogue is stocked (it showed empty). Confirm the community-size claim.</t>
  </si>
  <si>
    <t xml:space="preserve">Start your second mission</t>
  </si>
  <si>
    <t xml:space="preserve">Build your profile free and see your best-fit exams and jobs. Available in nine Indian languages.</t>
  </si>
  <si>
    <t xml:space="preserve">Languages: English, Hindi, Tamil, Bengali, Marathi, Malayalam, Telugu, Gujarati, Kannada; free-to-start model.</t>
  </si>
  <si>
    <t xml:space="preserve">Confirm app-store availability ("coming soon" on landing) and the CTA link.</t>
  </si>
  <si>
    <t xml:space="preserve">Content Pillars</t>
  </si>
  <si>
    <t xml:space="preserve">Nine pillars, each tied to a real part of the VeerNXT product. Item and post counts come from the Themes and Schedule sheets.</t>
  </si>
  <si>
    <t xml:space="preserve">What it covers</t>
  </si>
  <si>
    <t xml:space="preserve">Main audience</t>
  </si>
  <si>
    <t xml:space="preserve">Lead platforms</t>
  </si>
  <si>
    <t xml:space="preserve">Content items</t>
  </si>
  <si>
    <t xml:space="preserve">Posts</t>
  </si>
  <si>
    <t xml:space="preserve">Brand story: who VeerNXT is, and the invitation to join.</t>
  </si>
  <si>
    <t xml:space="preserve">All</t>
  </si>
  <si>
    <t xml:space="preserve">Facebook, LinkedIn</t>
  </si>
  <si>
    <t xml:space="preserve">Career profiling: military trade, rank and education mapped to a civilian skill profile and Veer Score; CV Builder.</t>
  </si>
  <si>
    <t xml:space="preserve">ESM, serving personnel planning ahead</t>
  </si>
  <si>
    <t xml:space="preserve">LinkedIn, Instagram</t>
  </si>
  <si>
    <t xml:space="preserve">Job aggregation from 10+ portals; ESM quotas, relaxations and bonus marks highlighted; expired jobs removed daily.</t>
  </si>
  <si>
    <t xml:space="preserve">ESM job seekers</t>
  </si>
  <si>
    <t xml:space="preserve">X, Facebook</t>
  </si>
  <si>
    <t xml:space="preserve">Learning Center: syllabus, guides, precis, previous-year papers, mock tests and quizzes for central and state exams; daily training plan.</t>
  </si>
  <si>
    <t xml:space="preserve">ESM preparing for government exams</t>
  </si>
  <si>
    <t xml:space="preserve">Instagram, Facebook</t>
  </si>
  <si>
    <t xml:space="preserve">Private Sector module: verified service profile, VeerNXT HR-mediated opportunities, "I am interested" or "Not for me" only.</t>
  </si>
  <si>
    <t xml:space="preserve">ESM seeking corporate roles</t>
  </si>
  <si>
    <t xml:space="preserve">Employer Portal: pre-verified veteran talent, requirement posting; the value of service experience at work.</t>
  </si>
  <si>
    <t xml:space="preserve">Employers, HR leaders</t>
  </si>
  <si>
    <t xml:space="preserve">LinkedIn, X</t>
  </si>
  <si>
    <t xml:space="preserve">Financial guidance: calculators (SIP, step-up SIP, cost of delay, emergency fund, retirement), fixed deposits, mutual funds, insurance basics.</t>
  </si>
  <si>
    <t xml:space="preserve">ESM with separation corpus, families</t>
  </si>
  <si>
    <t xml:space="preserve">Facebook, Instagram</t>
  </si>
  <si>
    <t xml:space="preserve">Legal Aid Cell: guided intake for service, pension and family matters; coordinator connects to a legal professional. Not legal advice.</t>
  </si>
  <si>
    <t xml:space="preserve">ESM, families, dependants</t>
  </si>
  <si>
    <t xml:space="preserve">Community and network, mentors, peer support, rewards points; app available in 9 Indian languages.</t>
  </si>
  <si>
    <t xml:space="preserve">ESM, families, mentors</t>
  </si>
  <si>
    <t xml:space="preserve">Total</t>
  </si>
  <si>
    <t xml:space="preserve">Platform voice: LinkedIn = editorial and insight; X = short and sharp; Instagram = visual and warm; Facebook = conversational and community.</t>
  </si>
  <si>
    <t xml:space="preserve">Campaign Schedule</t>
  </si>
  <si>
    <t xml:space="preserve">8 weeks, 2 content items per week. Each item is published on all four platforms, staggered across the week (no daily posting). Times are IST. Themes and pillars come from the Themes sheet (change them there).</t>
  </si>
  <si>
    <t xml:space="preserve">Post #</t>
  </si>
  <si>
    <t xml:space="preserve">Content item #</t>
  </si>
  <si>
    <t xml:space="preserve">Platform</t>
  </si>
  <si>
    <t xml:space="preserve">Format</t>
  </si>
  <si>
    <t xml:space="preserve">Date</t>
  </si>
  <si>
    <t xml:space="preserve">Day</t>
  </si>
  <si>
    <t xml:space="preserve">Time (IST)</t>
  </si>
  <si>
    <t xml:space="preserve">Day offset (Mon = 0)</t>
  </si>
  <si>
    <t xml:space="preserve">Status</t>
  </si>
  <si>
    <t xml:space="preserve">Editorial post + image</t>
  </si>
  <si>
    <t xml:space="preserve">Proposed</t>
  </si>
  <si>
    <t xml:space="preserve">Short post + image</t>
  </si>
  <si>
    <t xml:space="preserve">Community post + image</t>
  </si>
  <si>
    <t xml:space="preserve">Image post + caption</t>
  </si>
  <si>
    <t xml:space="preserve">Posting Cadence</t>
  </si>
  <si>
    <t xml:space="preserve">Posts per platform per week, counted from the Schedule sheet.</t>
  </si>
  <si>
    <t xml:space="preserve">Wk 1</t>
  </si>
  <si>
    <t xml:space="preserve">Wk 2</t>
  </si>
  <si>
    <t xml:space="preserve">Wk 3</t>
  </si>
  <si>
    <t xml:space="preserve">Wk 4</t>
  </si>
  <si>
    <t xml:space="preserve">Wk 5</t>
  </si>
  <si>
    <t xml:space="preserve">Wk 6</t>
  </si>
  <si>
    <t xml:space="preserve">Wk 7</t>
  </si>
  <si>
    <t xml:space="preserve">Wk 8</t>
  </si>
  <si>
    <t xml:space="preserve">Per week</t>
  </si>
  <si>
    <t xml:space="preserve">All platforms</t>
  </si>
  <si>
    <t xml:space="preserve">Comparison with posting daily on every platform</t>
  </si>
  <si>
    <t xml:space="preserve">Posts if daily on all 4 platforms</t>
  </si>
  <si>
    <t xml:space="preserve">Posts in this plan</t>
  </si>
  <si>
    <t xml:space="preserve">Reduction vs daily</t>
  </si>
  <si>
    <t xml:space="preserve">Campaign Costing</t>
  </si>
  <si>
    <t xml:space="preserve">AI content generation only (OpenAI API). Low / Expected / High cases. USD and INR. All figures are estimates - see Assumptions.</t>
  </si>
  <si>
    <t xml:space="preserve">Line</t>
  </si>
  <si>
    <t xml:space="preserve">Low (USD)</t>
  </si>
  <si>
    <t xml:space="preserve">Expected (USD)</t>
  </si>
  <si>
    <t xml:space="preserve">High (USD)</t>
  </si>
  <si>
    <t xml:space="preserve">Low (INR)</t>
  </si>
  <si>
    <t xml:space="preserve">Expected (INR)</t>
  </si>
  <si>
    <t xml:space="preserve">High (INR)</t>
  </si>
  <si>
    <t xml:space="preserve">Content items to generate</t>
  </si>
  <si>
    <t xml:space="preserve">Posts to publish</t>
  </si>
  <si>
    <t xml:space="preserve">Text generation (4 platforms per item)</t>
  </si>
  <si>
    <t xml:space="preserve">Image generation (1 image per item)</t>
  </si>
  <si>
    <t xml:space="preserve">Refinement edits by the team</t>
  </si>
  <si>
    <t xml:space="preserve">Regeneration allowance after review</t>
  </si>
  <si>
    <t xml:space="preserve">AI generation subtotal</t>
  </si>
  <si>
    <t xml:space="preserve">Hosting / third-party tools (not included unless entered)</t>
  </si>
  <si>
    <t xml:space="preserve">TOTAL CAMPAIGN COST</t>
  </si>
  <si>
    <t xml:space="preserve">Cost per content item</t>
  </si>
  <si>
    <t xml:space="preserve">Cost per post</t>
  </si>
  <si>
    <t xml:space="preserve">Notes</t>
  </si>
  <si>
    <t xml:space="preserve">Publishing is not costed: the app currently publishes via Mock/Manual providers (no per-post fee). Native LinkedIn / X / Meta API integration and any scheduler such as Buffer are not yet priced.</t>
  </si>
  <si>
    <t xml:space="preserve">Excluded: paid promotion / ad spend, staff time for review and approval, GST, bank foreign-transaction fees, and hosting unless entered in Assumptions.</t>
  </si>
  <si>
    <t xml:space="preserve">Rates and token counts are estimates from public price pages and assumed token volumes; check the OpenAI usage dashboard for actual spend.</t>
  </si>
  <si>
    <t xml:space="preserve">Assumptions &amp; Inputs</t>
  </si>
  <si>
    <t xml:space="preserve">Blue cells are inputs - change them and every sheet recalculates. Yellow = key assumptions to confirm.</t>
  </si>
  <si>
    <t xml:space="preserve">General</t>
  </si>
  <si>
    <t xml:space="preserve">Campaign start date (a Monday)</t>
  </si>
  <si>
    <t xml:space="preserve">Proposed. Change to the approved launch date.</t>
  </si>
  <si>
    <t xml:space="preserve">USD to INR exchange rate</t>
  </si>
  <si>
    <t xml:space="preserve">Approx. rate at 30 Sep 2026 from a web search (pluang.com currency converter); not a live rate. Update before final approval.</t>
  </si>
  <si>
    <t xml:space="preserve">Hosting / third-party tools (INR per month)</t>
  </si>
  <si>
    <t xml:space="preserve">NOT INCLUDED - to confirm (e.g. Vercel, Supabase, Buffer). Enter monthly amount if applicable.</t>
  </si>
  <si>
    <t xml:space="preserve">Campaign length (months, derived)</t>
  </si>
  <si>
    <t xml:space="preserve">Per-unit cost inputs</t>
  </si>
  <si>
    <t xml:space="preserve">Item</t>
  </si>
  <si>
    <t xml:space="preserve">Basis</t>
  </si>
  <si>
    <t xml:space="preserve">Text generation, USD per content item (all 4 platforms, gpt-4o)</t>
  </si>
  <si>
    <t xml:space="preserve">gpt-4o at $2.50/1M input and $10/1M output tokens (analyticsvidhya.com). Assumes ~1,000 tokens in, ~1,200 out. Estimate.</t>
  </si>
  <si>
    <t xml:space="preserve">Image, USD per image (gpt-image-2.5-flare, medium quality)</t>
  </si>
  <si>
    <t xml:space="preserve">Flare: $30/1M image-output tokens; ~439 tokens for 1024x1024 medium = ~$0.013 (openrouter.ai). Landscape 1536x1024 costs more. Estimate.</t>
  </si>
  <si>
    <t xml:space="preserve">Refinement call, USD each (short gpt-4o edit)</t>
  </si>
  <si>
    <t xml:space="preserve">Estimate: short prompt and single-post response.</t>
  </si>
  <si>
    <t xml:space="preserve">Refinements per content item (count)</t>
  </si>
  <si>
    <t xml:space="preserve">Editor "shorten / hook / CTA" style edits by the team. Assumption.</t>
  </si>
  <si>
    <t xml:space="preserve">Regeneration allowance (% of items re-generated)</t>
  </si>
  <si>
    <t xml:space="preserve">Items re-run in full (text + image) after review feedback. Assumption.</t>
  </si>
</sst>
</file>

<file path=xl/styles.xml><?xml version="1.0" encoding="utf-8"?>
<styleSheet xmlns="http://schemas.openxmlformats.org/spreadsheetml/2006/main">
  <numFmts count="13">
    <numFmt numFmtId="164" formatCode="General"/>
    <numFmt numFmtId="165" formatCode="dd\ mmm\ yyyy"/>
    <numFmt numFmtId="166" formatCode="0"/>
    <numFmt numFmtId="167" formatCode="0.0"/>
    <numFmt numFmtId="168" formatCode="0%"/>
    <numFmt numFmtId="169" formatCode="&quot;Rs &quot;#,##0"/>
    <numFmt numFmtId="170" formatCode="hh:mm\ AM/PM"/>
    <numFmt numFmtId="171" formatCode="\$#,##0.00;&quot;($&quot;#,##0.00\);\-"/>
    <numFmt numFmtId="172" formatCode="&quot;Rs &quot;#,##0.00;&quot;(Rs &quot;#,##0.00\);\-"/>
    <numFmt numFmtId="173" formatCode="0.00"/>
    <numFmt numFmtId="174" formatCode="#,##0"/>
    <numFmt numFmtId="175" formatCode="\$0.000"/>
    <numFmt numFmtId="176" formatCode="\$0.0000"/>
  </numFmts>
  <fonts count="12">
    <font>
      <sz val="11"/>
      <color theme="1"/>
      <name val="Calibri"/>
      <family val="2"/>
      <charset val="1"/>
    </font>
    <font>
      <sz val="10"/>
      <name val="Arial"/>
      <family val="0"/>
    </font>
    <font>
      <sz val="10"/>
      <name val="Arial"/>
      <family val="0"/>
    </font>
    <font>
      <sz val="10"/>
      <name val="Arial"/>
      <family val="0"/>
    </font>
    <font>
      <b val="true"/>
      <sz val="16"/>
      <color rgb="FF0F172A"/>
      <name val="Arial"/>
      <family val="0"/>
      <charset val="1"/>
    </font>
    <font>
      <i val="true"/>
      <sz val="10"/>
      <color rgb="FF595959"/>
      <name val="Arial"/>
      <family val="0"/>
      <charset val="1"/>
    </font>
    <font>
      <b val="true"/>
      <sz val="10"/>
      <name val="Arial"/>
      <family val="0"/>
      <charset val="1"/>
    </font>
    <font>
      <sz val="10"/>
      <name val="Arial"/>
      <family val="0"/>
      <charset val="1"/>
    </font>
    <font>
      <sz val="10"/>
      <color rgb="FF008000"/>
      <name val="Arial"/>
      <family val="0"/>
      <charset val="1"/>
    </font>
    <font>
      <b val="true"/>
      <sz val="10"/>
      <color rgb="FFFFFFFF"/>
      <name val="Arial"/>
      <family val="0"/>
      <charset val="1"/>
    </font>
    <font>
      <b val="true"/>
      <sz val="10"/>
      <color rgb="FF008000"/>
      <name val="Arial"/>
      <family val="0"/>
      <charset val="1"/>
    </font>
    <font>
      <sz val="10"/>
      <color rgb="FF0000FF"/>
      <name val="Arial"/>
      <family val="0"/>
      <charset val="1"/>
    </font>
  </fonts>
  <fills count="6">
    <fill>
      <patternFill patternType="none"/>
    </fill>
    <fill>
      <patternFill patternType="gray125"/>
    </fill>
    <fill>
      <patternFill patternType="solid">
        <fgColor rgb="FF0F172A"/>
        <bgColor rgb="FF000000"/>
      </patternFill>
    </fill>
    <fill>
      <patternFill patternType="solid">
        <fgColor rgb="FFFFFF00"/>
        <bgColor rgb="FFFFFF00"/>
      </patternFill>
    </fill>
    <fill>
      <patternFill patternType="solid">
        <fgColor rgb="FFF2F5F9"/>
        <bgColor rgb="FFFFFFFF"/>
      </patternFill>
    </fill>
    <fill>
      <patternFill patternType="solid">
        <fgColor rgb="FFDCE6F1"/>
        <bgColor rgb="FFF2F5F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xf numFmtId="166" fontId="8" fillId="0"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true" applyProtection="false">
      <alignment horizontal="right" vertical="bottom" textRotation="0" wrapText="false" indent="0" shrinkToFit="false"/>
      <protection locked="true" hidden="false"/>
    </xf>
    <xf numFmtId="168" fontId="8" fillId="0"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9" fontId="10" fillId="3"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70" fontId="11" fillId="0"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5" fontId="8" fillId="4" borderId="1" xfId="0" applyFont="true" applyBorder="true" applyAlignment="true" applyProtection="false">
      <alignment horizontal="general" vertical="top" textRotation="0" wrapText="false" indent="0" shrinkToFit="false"/>
      <protection locked="true" hidden="false"/>
    </xf>
    <xf numFmtId="170" fontId="11" fillId="4" borderId="1" xfId="0" applyFont="true" applyBorder="true" applyAlignment="true" applyProtection="false">
      <alignment horizontal="general" vertical="top" textRotation="0" wrapText="false" indent="0" shrinkToFit="false"/>
      <protection locked="true" hidden="false"/>
    </xf>
    <xf numFmtId="164" fontId="11" fillId="4" borderId="1" xfId="0" applyFont="true" applyBorder="true" applyAlignment="true" applyProtection="false">
      <alignment horizontal="general"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center" vertical="bottom" textRotation="0" wrapText="false" indent="0" shrinkToFit="false"/>
      <protection locked="true" hidden="false"/>
    </xf>
    <xf numFmtId="167" fontId="6" fillId="5" borderId="1" xfId="0" applyFont="true" applyBorder="true" applyAlignment="true" applyProtection="false">
      <alignment horizontal="center"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71" fontId="6" fillId="5" borderId="0" xfId="0" applyFont="true" applyBorder="false" applyAlignment="false" applyProtection="false">
      <alignment horizontal="general" vertical="bottom" textRotation="0" wrapText="false" indent="0" shrinkToFit="false"/>
      <protection locked="true" hidden="false"/>
    </xf>
    <xf numFmtId="172" fontId="6" fillId="5"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71" fontId="6" fillId="3" borderId="1" xfId="0" applyFont="true" applyBorder="true" applyAlignment="false" applyProtection="false">
      <alignment horizontal="general" vertical="bottom" textRotation="0" wrapText="false" indent="0" shrinkToFit="false"/>
      <protection locked="true" hidden="false"/>
    </xf>
    <xf numFmtId="172" fontId="6" fillId="3" borderId="1" xfId="0" applyFont="true" applyBorder="true" applyAlignment="false" applyProtection="false">
      <alignment horizontal="general"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73" fontId="11" fillId="3" borderId="1" xfId="0" applyFont="true" applyBorder="true" applyAlignment="false" applyProtection="false">
      <alignment horizontal="general" vertical="bottom" textRotation="0" wrapText="false" indent="0" shrinkToFit="false"/>
      <protection locked="true" hidden="false"/>
    </xf>
    <xf numFmtId="174" fontId="11" fillId="3" borderId="1" xfId="0" applyFont="true" applyBorder="true" applyAlignment="false" applyProtection="false">
      <alignment horizontal="general" vertical="bottom" textRotation="0" wrapText="false" indent="0" shrinkToFit="false"/>
      <protection locked="true" hidden="false"/>
    </xf>
    <xf numFmtId="175" fontId="11"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6"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F172A"/>
          <bgColor rgb="FF000000"/>
        </patternFill>
      </fill>
    </dxf>
    <dxf>
      <fill>
        <patternFill patternType="solid">
          <fgColor rgb="FFF2F5F9"/>
          <bgColor rgb="FF000000"/>
        </patternFill>
      </fill>
    </dxf>
    <dxf>
      <fill>
        <patternFill patternType="solid">
          <bgColor rgb="FF000000"/>
        </patternFill>
      </fill>
    </dxf>
    <dxf>
      <fill>
        <patternFill patternType="solid">
          <fgColor rgb="FFFFFFFF"/>
          <bgColor rgb="FF000000"/>
        </patternFill>
      </fill>
    </dxf>
    <dxf>
      <fill>
        <patternFill patternType="solid">
          <fgColor rgb="FF0080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5F9"/>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F172A"/>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 collapsed="false" customWidth="true" hidden="false" outlineLevel="0" max="4" min="2" style="0" width="16"/>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n">
        <f aca="false">Assumptions!B4</f>
        <v>46307</v>
      </c>
    </row>
    <row r="6" customFormat="false" ht="15" hidden="false" customHeight="false" outlineLevel="0" collapsed="false">
      <c r="A6" s="4" t="s">
        <v>4</v>
      </c>
      <c r="B6" s="5" t="n">
        <f aca="false">MAX(Schedule!G5:G68)</f>
        <v>46361</v>
      </c>
    </row>
    <row r="7" customFormat="false" ht="15" hidden="false" customHeight="false" outlineLevel="0" collapsed="false">
      <c r="A7" s="4" t="s">
        <v>5</v>
      </c>
      <c r="B7" s="6" t="n">
        <f aca="false">MAX(Schedule!B5:B68)</f>
        <v>8</v>
      </c>
    </row>
    <row r="8" customFormat="false" ht="15" hidden="false" customHeight="false" outlineLevel="0" collapsed="false">
      <c r="A8" s="4" t="s">
        <v>6</v>
      </c>
      <c r="B8" s="6" t="n">
        <f aca="false">Costing!C5</f>
        <v>16</v>
      </c>
    </row>
    <row r="9" customFormat="false" ht="15" hidden="false" customHeight="false" outlineLevel="0" collapsed="false">
      <c r="A9" s="4" t="s">
        <v>7</v>
      </c>
      <c r="B9" s="6" t="n">
        <f aca="false">Costing!C6</f>
        <v>64</v>
      </c>
    </row>
    <row r="10" customFormat="false" ht="15" hidden="false" customHeight="false" outlineLevel="0" collapsed="false">
      <c r="A10" s="4" t="s">
        <v>8</v>
      </c>
      <c r="B10" s="7" t="n">
        <f aca="false">Cadence!K9</f>
        <v>8</v>
      </c>
    </row>
    <row r="11" customFormat="false" ht="15" hidden="false" customHeight="false" outlineLevel="0" collapsed="false">
      <c r="A11" s="4" t="s">
        <v>9</v>
      </c>
      <c r="B11" s="8" t="n">
        <f aca="false">Cadence!B14</f>
        <v>0.714285714285714</v>
      </c>
    </row>
    <row r="13" customFormat="false" ht="15" hidden="false" customHeight="false" outlineLevel="0" collapsed="false">
      <c r="A13" s="3" t="s">
        <v>10</v>
      </c>
    </row>
    <row r="14" customFormat="false" ht="15" hidden="false" customHeight="false" outlineLevel="0" collapsed="false">
      <c r="A14" s="4" t="s">
        <v>11</v>
      </c>
      <c r="B14" s="9" t="n">
        <f aca="false">Cadence!K5</f>
        <v>2</v>
      </c>
    </row>
    <row r="15" customFormat="false" ht="15" hidden="false" customHeight="false" outlineLevel="0" collapsed="false">
      <c r="A15" s="4" t="s">
        <v>12</v>
      </c>
      <c r="B15" s="9" t="n">
        <f aca="false">Cadence!K6</f>
        <v>2</v>
      </c>
    </row>
    <row r="16" customFormat="false" ht="15" hidden="false" customHeight="false" outlineLevel="0" collapsed="false">
      <c r="A16" s="4" t="s">
        <v>13</v>
      </c>
      <c r="B16" s="9" t="n">
        <f aca="false">Cadence!K7</f>
        <v>2</v>
      </c>
    </row>
    <row r="17" customFormat="false" ht="15" hidden="false" customHeight="false" outlineLevel="0" collapsed="false">
      <c r="A17" s="4" t="s">
        <v>14</v>
      </c>
      <c r="B17" s="9" t="n">
        <f aca="false">Cadence!K8</f>
        <v>2</v>
      </c>
    </row>
    <row r="19" customFormat="false" ht="15" hidden="false" customHeight="false" outlineLevel="0" collapsed="false">
      <c r="A19" s="3" t="s">
        <v>15</v>
      </c>
    </row>
    <row r="20" customFormat="false" ht="15" hidden="false" customHeight="false" outlineLevel="0" collapsed="false">
      <c r="A20" s="10"/>
      <c r="B20" s="10" t="s">
        <v>16</v>
      </c>
      <c r="C20" s="10" t="s">
        <v>17</v>
      </c>
      <c r="D20" s="10" t="s">
        <v>18</v>
      </c>
    </row>
    <row r="21" customFormat="false" ht="15" hidden="false" customHeight="false" outlineLevel="0" collapsed="false">
      <c r="A21" s="0" t="s">
        <v>19</v>
      </c>
      <c r="B21" s="11" t="n">
        <f aca="false">Costing!E14</f>
        <v>48.636</v>
      </c>
      <c r="C21" s="11" t="n">
        <f aca="false">Costing!F14</f>
        <v>78.165</v>
      </c>
      <c r="D21" s="11" t="n">
        <f aca="false">Costing!G14</f>
        <v>165.208</v>
      </c>
    </row>
    <row r="22" customFormat="false" ht="15" hidden="false" customHeight="false" outlineLevel="0" collapsed="false">
      <c r="A22" s="0" t="s">
        <v>20</v>
      </c>
      <c r="B22" s="12" t="n">
        <f aca="false">Costing!E16</f>
        <v>3.03975</v>
      </c>
      <c r="C22" s="12" t="n">
        <f aca="false">Costing!F16</f>
        <v>4.8853125</v>
      </c>
      <c r="D22" s="12" t="n">
        <f aca="false">Costing!G16</f>
        <v>10.3255</v>
      </c>
    </row>
    <row r="23" customFormat="false" ht="15" hidden="false" customHeight="false" outlineLevel="0" collapsed="false">
      <c r="A23" s="0" t="s">
        <v>21</v>
      </c>
      <c r="B23" s="12" t="n">
        <f aca="false">Costing!E17</f>
        <v>0.7599375</v>
      </c>
      <c r="C23" s="12" t="n">
        <f aca="false">Costing!F17</f>
        <v>1.221328125</v>
      </c>
      <c r="D23" s="12" t="n">
        <f aca="false">Costing!G17</f>
        <v>2.581375</v>
      </c>
    </row>
    <row r="25" customFormat="false" ht="15" hidden="false" customHeight="false" outlineLevel="0" collapsed="false">
      <c r="A25" s="3" t="s">
        <v>22</v>
      </c>
    </row>
    <row r="26" customFormat="false" ht="15" hidden="false" customHeight="false" outlineLevel="0" collapsed="false">
      <c r="A26" s="4" t="s">
        <v>23</v>
      </c>
    </row>
    <row r="27" customFormat="false" ht="15" hidden="false" customHeight="false" outlineLevel="0" collapsed="false">
      <c r="A27" s="4" t="s">
        <v>24</v>
      </c>
    </row>
    <row r="28" customFormat="false" ht="15" hidden="false" customHeight="false" outlineLevel="0" collapsed="false">
      <c r="A28" s="4" t="s">
        <v>25</v>
      </c>
    </row>
    <row r="29" customFormat="false" ht="15" hidden="false" customHeight="false" outlineLevel="0" collapsed="false">
      <c r="A29" s="4" t="s">
        <v>26</v>
      </c>
    </row>
    <row r="30" customFormat="false" ht="15" hidden="false" customHeight="false" outlineLevel="0" collapsed="false">
      <c r="A30" s="4" t="s">
        <v>27</v>
      </c>
    </row>
    <row r="31" customFormat="false" ht="15" hidden="false" customHeight="false" outlineLevel="0" collapsed="false">
      <c r="A31" s="4" t="s">
        <v>28</v>
      </c>
    </row>
    <row r="32" customFormat="false" ht="15" hidden="false" customHeight="false" outlineLevel="0" collapsed="false">
      <c r="A32" s="4" t="s">
        <v>29</v>
      </c>
    </row>
    <row r="33" customFormat="false" ht="15" hidden="false" customHeight="false" outlineLevel="0" collapsed="false">
      <c r="A33" s="4" t="s">
        <v>30</v>
      </c>
    </row>
    <row r="35" customFormat="false" ht="15" hidden="false" customHeight="false" outlineLevel="0" collapsed="false">
      <c r="A35" s="2" t="s">
        <v>31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7"/>
    <col collapsed="false" customWidth="true" hidden="false" outlineLevel="0" max="3" min="3" style="0" width="15"/>
    <col collapsed="false" customWidth="true" hidden="false" outlineLevel="0" max="4" min="4" style="0" width="30"/>
    <col collapsed="false" customWidth="true" hidden="false" outlineLevel="0" max="5" min="5" style="0" width="34"/>
    <col collapsed="false" customWidth="true" hidden="false" outlineLevel="0" max="6" min="6" style="0" width="62"/>
    <col collapsed="false" customWidth="true" hidden="false" outlineLevel="0" max="7" min="7" style="0" width="44"/>
    <col collapsed="false" customWidth="true" hidden="false" outlineLevel="0" max="8" min="8" style="0" width="62"/>
  </cols>
  <sheetData>
    <row r="1" customFormat="false" ht="19.7" hidden="false" customHeight="false" outlineLevel="0" collapsed="false">
      <c r="A1" s="1" t="s">
        <v>32</v>
      </c>
    </row>
    <row r="2" customFormat="false" ht="15" hidden="false" customHeight="false" outlineLevel="0" collapsed="false">
      <c r="A2" s="2" t="s">
        <v>33</v>
      </c>
    </row>
    <row r="4" customFormat="false" ht="15" hidden="false" customHeight="false" outlineLevel="0" collapsed="false">
      <c r="A4" s="10" t="s">
        <v>34</v>
      </c>
      <c r="B4" s="10" t="s">
        <v>35</v>
      </c>
      <c r="C4" s="10" t="s">
        <v>36</v>
      </c>
      <c r="D4" s="10" t="s">
        <v>37</v>
      </c>
      <c r="E4" s="10" t="s">
        <v>38</v>
      </c>
      <c r="F4" s="10" t="s">
        <v>39</v>
      </c>
      <c r="G4" s="10" t="s">
        <v>40</v>
      </c>
      <c r="H4" s="10" t="s">
        <v>41</v>
      </c>
    </row>
    <row r="5" customFormat="false" ht="61.5" hidden="false" customHeight="true" outlineLevel="0" collapsed="false">
      <c r="A5" s="13" t="n">
        <v>1</v>
      </c>
      <c r="B5" s="13" t="n">
        <v>1</v>
      </c>
      <c r="C5" s="14" t="s">
        <v>42</v>
      </c>
      <c r="D5" s="14" t="s">
        <v>43</v>
      </c>
      <c r="E5" s="14" t="s">
        <v>44</v>
      </c>
      <c r="F5" s="14" t="s">
        <v>45</v>
      </c>
      <c r="G5" s="13" t="s">
        <v>46</v>
      </c>
      <c r="H5" s="13" t="s">
        <v>47</v>
      </c>
    </row>
    <row r="6" customFormat="false" ht="61.5" hidden="false" customHeight="true" outlineLevel="0" collapsed="false">
      <c r="A6" s="13" t="n">
        <v>2</v>
      </c>
      <c r="B6" s="13" t="n">
        <v>1</v>
      </c>
      <c r="C6" s="14" t="s">
        <v>42</v>
      </c>
      <c r="D6" s="14" t="s">
        <v>48</v>
      </c>
      <c r="E6" s="14" t="s">
        <v>49</v>
      </c>
      <c r="F6" s="14" t="s">
        <v>50</v>
      </c>
      <c r="G6" s="13" t="s">
        <v>51</v>
      </c>
      <c r="H6" s="13" t="s">
        <v>52</v>
      </c>
    </row>
    <row r="7" customFormat="false" ht="61.5" hidden="false" customHeight="true" outlineLevel="0" collapsed="false">
      <c r="A7" s="15" t="n">
        <v>3</v>
      </c>
      <c r="B7" s="15" t="n">
        <v>2</v>
      </c>
      <c r="C7" s="16" t="s">
        <v>53</v>
      </c>
      <c r="D7" s="16" t="s">
        <v>48</v>
      </c>
      <c r="E7" s="16" t="s">
        <v>54</v>
      </c>
      <c r="F7" s="16" t="s">
        <v>55</v>
      </c>
      <c r="G7" s="15" t="s">
        <v>56</v>
      </c>
      <c r="H7" s="15" t="s">
        <v>57</v>
      </c>
    </row>
    <row r="8" customFormat="false" ht="61.5" hidden="false" customHeight="true" outlineLevel="0" collapsed="false">
      <c r="A8" s="15" t="n">
        <v>4</v>
      </c>
      <c r="B8" s="15" t="n">
        <v>2</v>
      </c>
      <c r="C8" s="16" t="s">
        <v>53</v>
      </c>
      <c r="D8" s="16" t="s">
        <v>48</v>
      </c>
      <c r="E8" s="16" t="s">
        <v>58</v>
      </c>
      <c r="F8" s="16" t="s">
        <v>59</v>
      </c>
      <c r="G8" s="15" t="s">
        <v>60</v>
      </c>
      <c r="H8" s="15" t="s">
        <v>61</v>
      </c>
    </row>
    <row r="9" customFormat="false" ht="61.5" hidden="false" customHeight="true" outlineLevel="0" collapsed="false">
      <c r="A9" s="13" t="n">
        <v>5</v>
      </c>
      <c r="B9" s="13" t="n">
        <v>3</v>
      </c>
      <c r="C9" s="14" t="s">
        <v>53</v>
      </c>
      <c r="D9" s="14" t="s">
        <v>62</v>
      </c>
      <c r="E9" s="14" t="s">
        <v>63</v>
      </c>
      <c r="F9" s="14" t="s">
        <v>64</v>
      </c>
      <c r="G9" s="13" t="s">
        <v>65</v>
      </c>
      <c r="H9" s="13" t="s">
        <v>66</v>
      </c>
    </row>
    <row r="10" customFormat="false" ht="61.5" hidden="false" customHeight="true" outlineLevel="0" collapsed="false">
      <c r="A10" s="13" t="n">
        <v>6</v>
      </c>
      <c r="B10" s="13" t="n">
        <v>3</v>
      </c>
      <c r="C10" s="14" t="s">
        <v>53</v>
      </c>
      <c r="D10" s="14" t="s">
        <v>62</v>
      </c>
      <c r="E10" s="14" t="s">
        <v>67</v>
      </c>
      <c r="F10" s="14" t="s">
        <v>68</v>
      </c>
      <c r="G10" s="13" t="s">
        <v>69</v>
      </c>
      <c r="H10" s="13" t="s">
        <v>70</v>
      </c>
    </row>
    <row r="11" customFormat="false" ht="61.5" hidden="false" customHeight="true" outlineLevel="0" collapsed="false">
      <c r="A11" s="15" t="n">
        <v>7</v>
      </c>
      <c r="B11" s="15" t="n">
        <v>4</v>
      </c>
      <c r="C11" s="16" t="s">
        <v>71</v>
      </c>
      <c r="D11" s="16" t="s">
        <v>72</v>
      </c>
      <c r="E11" s="16" t="s">
        <v>73</v>
      </c>
      <c r="F11" s="16" t="s">
        <v>74</v>
      </c>
      <c r="G11" s="15" t="s">
        <v>75</v>
      </c>
      <c r="H11" s="15" t="s">
        <v>76</v>
      </c>
    </row>
    <row r="12" customFormat="false" ht="61.5" hidden="false" customHeight="true" outlineLevel="0" collapsed="false">
      <c r="A12" s="15" t="n">
        <v>8</v>
      </c>
      <c r="B12" s="15" t="n">
        <v>4</v>
      </c>
      <c r="C12" s="16" t="s">
        <v>71</v>
      </c>
      <c r="D12" s="16" t="s">
        <v>72</v>
      </c>
      <c r="E12" s="16" t="s">
        <v>77</v>
      </c>
      <c r="F12" s="16" t="s">
        <v>78</v>
      </c>
      <c r="G12" s="15" t="s">
        <v>79</v>
      </c>
      <c r="H12" s="15" t="s">
        <v>80</v>
      </c>
    </row>
    <row r="13" customFormat="false" ht="61.5" hidden="false" customHeight="true" outlineLevel="0" collapsed="false">
      <c r="A13" s="13" t="n">
        <v>9</v>
      </c>
      <c r="B13" s="13" t="n">
        <v>5</v>
      </c>
      <c r="C13" s="14" t="s">
        <v>81</v>
      </c>
      <c r="D13" s="14" t="s">
        <v>82</v>
      </c>
      <c r="E13" s="14" t="s">
        <v>83</v>
      </c>
      <c r="F13" s="14" t="s">
        <v>84</v>
      </c>
      <c r="G13" s="13" t="s">
        <v>85</v>
      </c>
      <c r="H13" s="13" t="s">
        <v>86</v>
      </c>
    </row>
    <row r="14" customFormat="false" ht="61.5" hidden="false" customHeight="true" outlineLevel="0" collapsed="false">
      <c r="A14" s="13" t="n">
        <v>10</v>
      </c>
      <c r="B14" s="13" t="n">
        <v>5</v>
      </c>
      <c r="C14" s="14" t="s">
        <v>81</v>
      </c>
      <c r="D14" s="14" t="s">
        <v>48</v>
      </c>
      <c r="E14" s="14" t="s">
        <v>87</v>
      </c>
      <c r="F14" s="14" t="s">
        <v>88</v>
      </c>
      <c r="G14" s="13" t="s">
        <v>89</v>
      </c>
      <c r="H14" s="13" t="s">
        <v>90</v>
      </c>
    </row>
    <row r="15" customFormat="false" ht="61.5" hidden="false" customHeight="true" outlineLevel="0" collapsed="false">
      <c r="A15" s="15" t="n">
        <v>11</v>
      </c>
      <c r="B15" s="15" t="n">
        <v>6</v>
      </c>
      <c r="C15" s="16" t="s">
        <v>81</v>
      </c>
      <c r="D15" s="16" t="s">
        <v>91</v>
      </c>
      <c r="E15" s="16" t="s">
        <v>92</v>
      </c>
      <c r="F15" s="16" t="s">
        <v>93</v>
      </c>
      <c r="G15" s="15" t="s">
        <v>94</v>
      </c>
      <c r="H15" s="15" t="s">
        <v>95</v>
      </c>
    </row>
    <row r="16" customFormat="false" ht="61.5" hidden="false" customHeight="true" outlineLevel="0" collapsed="false">
      <c r="A16" s="15" t="n">
        <v>12</v>
      </c>
      <c r="B16" s="15" t="n">
        <v>6</v>
      </c>
      <c r="C16" s="16" t="s">
        <v>81</v>
      </c>
      <c r="D16" s="16" t="s">
        <v>91</v>
      </c>
      <c r="E16" s="16" t="s">
        <v>96</v>
      </c>
      <c r="F16" s="16" t="s">
        <v>97</v>
      </c>
      <c r="G16" s="15" t="s">
        <v>98</v>
      </c>
      <c r="H16" s="15" t="s">
        <v>52</v>
      </c>
    </row>
    <row r="17" customFormat="false" ht="61.5" hidden="false" customHeight="true" outlineLevel="0" collapsed="false">
      <c r="A17" s="13" t="n">
        <v>13</v>
      </c>
      <c r="B17" s="13" t="n">
        <v>7</v>
      </c>
      <c r="C17" s="14" t="s">
        <v>99</v>
      </c>
      <c r="D17" s="14" t="s">
        <v>100</v>
      </c>
      <c r="E17" s="14" t="s">
        <v>101</v>
      </c>
      <c r="F17" s="14" t="s">
        <v>102</v>
      </c>
      <c r="G17" s="13" t="s">
        <v>103</v>
      </c>
      <c r="H17" s="13" t="s">
        <v>104</v>
      </c>
    </row>
    <row r="18" customFormat="false" ht="61.5" hidden="false" customHeight="true" outlineLevel="0" collapsed="false">
      <c r="A18" s="13" t="n">
        <v>14</v>
      </c>
      <c r="B18" s="13" t="n">
        <v>7</v>
      </c>
      <c r="C18" s="14" t="s">
        <v>99</v>
      </c>
      <c r="D18" s="14" t="s">
        <v>105</v>
      </c>
      <c r="E18" s="14" t="s">
        <v>106</v>
      </c>
      <c r="F18" s="14" t="s">
        <v>107</v>
      </c>
      <c r="G18" s="13" t="s">
        <v>108</v>
      </c>
      <c r="H18" s="13" t="s">
        <v>109</v>
      </c>
    </row>
    <row r="19" customFormat="false" ht="61.5" hidden="false" customHeight="true" outlineLevel="0" collapsed="false">
      <c r="A19" s="15" t="n">
        <v>15</v>
      </c>
      <c r="B19" s="15" t="n">
        <v>8</v>
      </c>
      <c r="C19" s="16" t="s">
        <v>110</v>
      </c>
      <c r="D19" s="16" t="s">
        <v>111</v>
      </c>
      <c r="E19" s="16" t="s">
        <v>112</v>
      </c>
      <c r="F19" s="16" t="s">
        <v>113</v>
      </c>
      <c r="G19" s="15" t="s">
        <v>114</v>
      </c>
      <c r="H19" s="15" t="s">
        <v>115</v>
      </c>
    </row>
    <row r="20" customFormat="false" ht="61.5" hidden="false" customHeight="true" outlineLevel="0" collapsed="false">
      <c r="A20" s="15" t="n">
        <v>16</v>
      </c>
      <c r="B20" s="15" t="n">
        <v>8</v>
      </c>
      <c r="C20" s="16" t="s">
        <v>110</v>
      </c>
      <c r="D20" s="16" t="s">
        <v>43</v>
      </c>
      <c r="E20" s="16" t="s">
        <v>116</v>
      </c>
      <c r="F20" s="16" t="s">
        <v>117</v>
      </c>
      <c r="G20" s="15" t="s">
        <v>118</v>
      </c>
      <c r="H20" s="15" t="s">
        <v>119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70"/>
    <col collapsed="false" customWidth="true" hidden="false" outlineLevel="0" max="3" min="3" style="0" width="34"/>
    <col collapsed="false" customWidth="true" hidden="false" outlineLevel="0" max="4" min="4" style="0" width="24"/>
    <col collapsed="false" customWidth="true" hidden="false" outlineLevel="0" max="5" min="5" style="0" width="14"/>
    <col collapsed="false" customWidth="true" hidden="false" outlineLevel="0" max="6" min="6" style="0" width="10"/>
  </cols>
  <sheetData>
    <row r="1" customFormat="false" ht="19.7" hidden="false" customHeight="false" outlineLevel="0" collapsed="false">
      <c r="A1" s="1" t="s">
        <v>120</v>
      </c>
    </row>
    <row r="2" customFormat="false" ht="15" hidden="false" customHeight="false" outlineLevel="0" collapsed="false">
      <c r="A2" s="2" t="s">
        <v>121</v>
      </c>
    </row>
    <row r="4" customFormat="false" ht="15" hidden="false" customHeight="false" outlineLevel="0" collapsed="false">
      <c r="A4" s="10" t="s">
        <v>37</v>
      </c>
      <c r="B4" s="10" t="s">
        <v>122</v>
      </c>
      <c r="C4" s="10" t="s">
        <v>123</v>
      </c>
      <c r="D4" s="10" t="s">
        <v>124</v>
      </c>
      <c r="E4" s="10" t="s">
        <v>125</v>
      </c>
      <c r="F4" s="10" t="s">
        <v>126</v>
      </c>
    </row>
    <row r="5" customFormat="false" ht="48" hidden="false" customHeight="true" outlineLevel="0" collapsed="false">
      <c r="A5" s="17" t="s">
        <v>43</v>
      </c>
      <c r="B5" s="13" t="s">
        <v>127</v>
      </c>
      <c r="C5" s="13" t="s">
        <v>128</v>
      </c>
      <c r="D5" s="13" t="s">
        <v>129</v>
      </c>
      <c r="E5" s="18" t="n">
        <f aca="false">COUNTIF(Themes!$D$5:$D$20,A5)</f>
        <v>2</v>
      </c>
      <c r="F5" s="18" t="n">
        <f aca="false">COUNTIF(Schedule!$L$5:$L$68,A5)</f>
        <v>8</v>
      </c>
    </row>
    <row r="6" customFormat="false" ht="48" hidden="false" customHeight="true" outlineLevel="0" collapsed="false">
      <c r="A6" s="17" t="s">
        <v>48</v>
      </c>
      <c r="B6" s="13" t="s">
        <v>130</v>
      </c>
      <c r="C6" s="13" t="s">
        <v>131</v>
      </c>
      <c r="D6" s="13" t="s">
        <v>132</v>
      </c>
      <c r="E6" s="18" t="n">
        <f aca="false">COUNTIF(Themes!$D$5:$D$20,A6)</f>
        <v>4</v>
      </c>
      <c r="F6" s="18" t="n">
        <f aca="false">COUNTIF(Schedule!$L$5:$L$68,A6)</f>
        <v>16</v>
      </c>
    </row>
    <row r="7" customFormat="false" ht="48" hidden="false" customHeight="true" outlineLevel="0" collapsed="false">
      <c r="A7" s="17" t="s">
        <v>62</v>
      </c>
      <c r="B7" s="13" t="s">
        <v>133</v>
      </c>
      <c r="C7" s="13" t="s">
        <v>134</v>
      </c>
      <c r="D7" s="13" t="s">
        <v>135</v>
      </c>
      <c r="E7" s="18" t="n">
        <f aca="false">COUNTIF(Themes!$D$5:$D$20,A7)</f>
        <v>2</v>
      </c>
      <c r="F7" s="18" t="n">
        <f aca="false">COUNTIF(Schedule!$L$5:$L$68,A7)</f>
        <v>8</v>
      </c>
    </row>
    <row r="8" customFormat="false" ht="48" hidden="false" customHeight="true" outlineLevel="0" collapsed="false">
      <c r="A8" s="17" t="s">
        <v>72</v>
      </c>
      <c r="B8" s="13" t="s">
        <v>136</v>
      </c>
      <c r="C8" s="13" t="s">
        <v>137</v>
      </c>
      <c r="D8" s="13" t="s">
        <v>138</v>
      </c>
      <c r="E8" s="18" t="n">
        <f aca="false">COUNTIF(Themes!$D$5:$D$20,A8)</f>
        <v>2</v>
      </c>
      <c r="F8" s="18" t="n">
        <f aca="false">COUNTIF(Schedule!$L$5:$L$68,A8)</f>
        <v>8</v>
      </c>
    </row>
    <row r="9" customFormat="false" ht="48" hidden="false" customHeight="true" outlineLevel="0" collapsed="false">
      <c r="A9" s="17" t="s">
        <v>82</v>
      </c>
      <c r="B9" s="13" t="s">
        <v>139</v>
      </c>
      <c r="C9" s="13" t="s">
        <v>140</v>
      </c>
      <c r="D9" s="13" t="s">
        <v>11</v>
      </c>
      <c r="E9" s="18" t="n">
        <f aca="false">COUNTIF(Themes!$D$5:$D$20,A9)</f>
        <v>1</v>
      </c>
      <c r="F9" s="18" t="n">
        <f aca="false">COUNTIF(Schedule!$L$5:$L$68,A9)</f>
        <v>4</v>
      </c>
    </row>
    <row r="10" customFormat="false" ht="48" hidden="false" customHeight="true" outlineLevel="0" collapsed="false">
      <c r="A10" s="17" t="s">
        <v>91</v>
      </c>
      <c r="B10" s="13" t="s">
        <v>141</v>
      </c>
      <c r="C10" s="13" t="s">
        <v>142</v>
      </c>
      <c r="D10" s="13" t="s">
        <v>143</v>
      </c>
      <c r="E10" s="18" t="n">
        <f aca="false">COUNTIF(Themes!$D$5:$D$20,A10)</f>
        <v>2</v>
      </c>
      <c r="F10" s="18" t="n">
        <f aca="false">COUNTIF(Schedule!$L$5:$L$68,A10)</f>
        <v>8</v>
      </c>
    </row>
    <row r="11" customFormat="false" ht="48" hidden="false" customHeight="true" outlineLevel="0" collapsed="false">
      <c r="A11" s="17" t="s">
        <v>100</v>
      </c>
      <c r="B11" s="13" t="s">
        <v>144</v>
      </c>
      <c r="C11" s="13" t="s">
        <v>145</v>
      </c>
      <c r="D11" s="13" t="s">
        <v>146</v>
      </c>
      <c r="E11" s="18" t="n">
        <f aca="false">COUNTIF(Themes!$D$5:$D$20,A11)</f>
        <v>1</v>
      </c>
      <c r="F11" s="18" t="n">
        <f aca="false">COUNTIF(Schedule!$L$5:$L$68,A11)</f>
        <v>4</v>
      </c>
    </row>
    <row r="12" customFormat="false" ht="48" hidden="false" customHeight="true" outlineLevel="0" collapsed="false">
      <c r="A12" s="17" t="s">
        <v>105</v>
      </c>
      <c r="B12" s="13" t="s">
        <v>147</v>
      </c>
      <c r="C12" s="13" t="s">
        <v>148</v>
      </c>
      <c r="D12" s="13" t="s">
        <v>129</v>
      </c>
      <c r="E12" s="18" t="n">
        <f aca="false">COUNTIF(Themes!$D$5:$D$20,A12)</f>
        <v>1</v>
      </c>
      <c r="F12" s="18" t="n">
        <f aca="false">COUNTIF(Schedule!$L$5:$L$68,A12)</f>
        <v>4</v>
      </c>
    </row>
    <row r="13" customFormat="false" ht="48" hidden="false" customHeight="true" outlineLevel="0" collapsed="false">
      <c r="A13" s="17" t="s">
        <v>111</v>
      </c>
      <c r="B13" s="13" t="s">
        <v>149</v>
      </c>
      <c r="C13" s="13" t="s">
        <v>150</v>
      </c>
      <c r="D13" s="13" t="s">
        <v>146</v>
      </c>
      <c r="E13" s="18" t="n">
        <f aca="false">COUNTIF(Themes!$D$5:$D$20,A13)</f>
        <v>1</v>
      </c>
      <c r="F13" s="18" t="n">
        <f aca="false">COUNTIF(Schedule!$L$5:$L$68,A13)</f>
        <v>4</v>
      </c>
    </row>
    <row r="14" customFormat="false" ht="15" hidden="false" customHeight="false" outlineLevel="0" collapsed="false">
      <c r="A14" s="19" t="s">
        <v>151</v>
      </c>
      <c r="B14" s="20"/>
      <c r="C14" s="20"/>
      <c r="D14" s="20"/>
      <c r="E14" s="19" t="n">
        <f aca="false">SUM(E5:E13)</f>
        <v>16</v>
      </c>
      <c r="F14" s="19" t="n">
        <f aca="false">SUM(F5:F13)</f>
        <v>64</v>
      </c>
    </row>
    <row r="16" customFormat="false" ht="15" hidden="false" customHeight="false" outlineLevel="0" collapsed="false">
      <c r="A16" s="2" t="s">
        <v>152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7"/>
    <col collapsed="false" customWidth="true" hidden="false" outlineLevel="0" max="3" min="3" style="0" width="13"/>
    <col collapsed="false" customWidth="true" hidden="false" outlineLevel="0" max="4" min="4" style="0" width="52"/>
    <col collapsed="false" customWidth="true" hidden="false" outlineLevel="0" max="5" min="5" style="0" width="12"/>
    <col collapsed="false" customWidth="true" hidden="false" outlineLevel="0" max="6" min="6" style="0" width="24"/>
    <col collapsed="false" customWidth="true" hidden="false" outlineLevel="0" max="7" min="7" style="0" width="13"/>
    <col collapsed="false" customWidth="true" hidden="false" outlineLevel="0" max="8" min="8" style="0" width="7"/>
    <col collapsed="false" customWidth="true" hidden="false" outlineLevel="0" max="9" min="9" style="0" width="12"/>
    <col collapsed="false" customWidth="true" hidden="false" outlineLevel="0" max="10" min="10" style="0" width="13"/>
    <col collapsed="false" customWidth="true" hidden="false" outlineLevel="0" max="11" min="11" style="0" width="12"/>
    <col collapsed="false" customWidth="true" hidden="false" outlineLevel="0" max="12" min="12" style="0" width="30"/>
    <col collapsed="false" customWidth="true" hidden="false" outlineLevel="0" max="13" min="13" style="0" width="16"/>
  </cols>
  <sheetData>
    <row r="1" customFormat="false" ht="19.7" hidden="false" customHeight="false" outlineLevel="0" collapsed="false">
      <c r="A1" s="1" t="s">
        <v>153</v>
      </c>
    </row>
    <row r="2" customFormat="false" ht="15" hidden="false" customHeight="false" outlineLevel="0" collapsed="false">
      <c r="A2" s="2" t="s">
        <v>154</v>
      </c>
    </row>
    <row r="4" customFormat="false" ht="23.85" hidden="false" customHeight="false" outlineLevel="0" collapsed="false">
      <c r="A4" s="10" t="s">
        <v>155</v>
      </c>
      <c r="B4" s="10" t="s">
        <v>35</v>
      </c>
      <c r="C4" s="10" t="s">
        <v>156</v>
      </c>
      <c r="D4" s="10" t="s">
        <v>38</v>
      </c>
      <c r="E4" s="10" t="s">
        <v>157</v>
      </c>
      <c r="F4" s="10" t="s">
        <v>158</v>
      </c>
      <c r="G4" s="10" t="s">
        <v>159</v>
      </c>
      <c r="H4" s="10" t="s">
        <v>160</v>
      </c>
      <c r="I4" s="10" t="s">
        <v>161</v>
      </c>
      <c r="J4" s="10" t="s">
        <v>162</v>
      </c>
      <c r="K4" s="10" t="s">
        <v>163</v>
      </c>
      <c r="L4" s="10" t="s">
        <v>37</v>
      </c>
      <c r="M4" s="10" t="s">
        <v>36</v>
      </c>
    </row>
    <row r="5" customFormat="false" ht="15" hidden="false" customHeight="false" outlineLevel="0" collapsed="false">
      <c r="A5" s="21" t="n">
        <v>1</v>
      </c>
      <c r="B5" s="21" t="n">
        <v>1</v>
      </c>
      <c r="C5" s="21" t="n">
        <v>1</v>
      </c>
      <c r="D5" s="22" t="str">
        <f aca="false">INDEX(Themes!$E$5:$E$20,MATCH(C5,Themes!$A$5:$A$20,0))</f>
        <v>Your second mission begins here</v>
      </c>
      <c r="E5" s="21" t="s">
        <v>11</v>
      </c>
      <c r="F5" s="13" t="s">
        <v>164</v>
      </c>
      <c r="G5" s="23" t="n">
        <f aca="false">Assumptions!$B$4+(B5-1)*7+J5</f>
        <v>46308</v>
      </c>
      <c r="H5" s="21" t="str">
        <f aca="false">TEXT(G5,"ddd")</f>
        <v>Tue</v>
      </c>
      <c r="I5" s="24" t="n">
        <v>0.395833333333333</v>
      </c>
      <c r="J5" s="25" t="n">
        <v>1</v>
      </c>
      <c r="K5" s="21" t="s">
        <v>165</v>
      </c>
      <c r="L5" s="26" t="str">
        <f aca="false">INDEX(Themes!$D$5:$D$20,MATCH(C5,Themes!$A$5:$A$20,0))</f>
        <v>P0 The Second Mission</v>
      </c>
      <c r="M5" s="26" t="str">
        <f aca="false">INDEX(Themes!$C$5:$C$20,MATCH(C5,Themes!$A$5:$A$20,0))</f>
        <v>Awareness</v>
      </c>
    </row>
    <row r="6" customFormat="false" ht="15" hidden="false" customHeight="false" outlineLevel="0" collapsed="false">
      <c r="A6" s="21" t="n">
        <v>2</v>
      </c>
      <c r="B6" s="21" t="n">
        <v>1</v>
      </c>
      <c r="C6" s="21" t="n">
        <v>1</v>
      </c>
      <c r="D6" s="22" t="str">
        <f aca="false">INDEX(Themes!$E$5:$E$20,MATCH(C6,Themes!$A$5:$A$20,0))</f>
        <v>Your second mission begins here</v>
      </c>
      <c r="E6" s="21" t="s">
        <v>12</v>
      </c>
      <c r="F6" s="13" t="s">
        <v>166</v>
      </c>
      <c r="G6" s="23" t="n">
        <f aca="false">Assumptions!$B$4+(B6-1)*7+J6</f>
        <v>46308</v>
      </c>
      <c r="H6" s="21" t="str">
        <f aca="false">TEXT(G6,"ddd")</f>
        <v>Tue</v>
      </c>
      <c r="I6" s="24" t="n">
        <v>0.416666666666667</v>
      </c>
      <c r="J6" s="25" t="n">
        <v>1</v>
      </c>
      <c r="K6" s="21" t="s">
        <v>165</v>
      </c>
      <c r="L6" s="26" t="str">
        <f aca="false">INDEX(Themes!$D$5:$D$20,MATCH(C6,Themes!$A$5:$A$20,0))</f>
        <v>P0 The Second Mission</v>
      </c>
      <c r="M6" s="26" t="str">
        <f aca="false">INDEX(Themes!$C$5:$C$20,MATCH(C6,Themes!$A$5:$A$20,0))</f>
        <v>Awareness</v>
      </c>
    </row>
    <row r="7" customFormat="false" ht="15" hidden="false" customHeight="false" outlineLevel="0" collapsed="false">
      <c r="A7" s="21" t="n">
        <v>3</v>
      </c>
      <c r="B7" s="21" t="n">
        <v>1</v>
      </c>
      <c r="C7" s="21" t="n">
        <v>1</v>
      </c>
      <c r="D7" s="22" t="str">
        <f aca="false">INDEX(Themes!$E$5:$E$20,MATCH(C7,Themes!$A$5:$A$20,0))</f>
        <v>Your second mission begins here</v>
      </c>
      <c r="E7" s="21" t="s">
        <v>14</v>
      </c>
      <c r="F7" s="13" t="s">
        <v>167</v>
      </c>
      <c r="G7" s="23" t="n">
        <f aca="false">Assumptions!$B$4+(B7-1)*7+J7</f>
        <v>46309</v>
      </c>
      <c r="H7" s="21" t="str">
        <f aca="false">TEXT(G7,"ddd")</f>
        <v>Wed</v>
      </c>
      <c r="I7" s="24" t="n">
        <v>0.791666666666667</v>
      </c>
      <c r="J7" s="25" t="n">
        <v>2</v>
      </c>
      <c r="K7" s="21" t="s">
        <v>165</v>
      </c>
      <c r="L7" s="26" t="str">
        <f aca="false">INDEX(Themes!$D$5:$D$20,MATCH(C7,Themes!$A$5:$A$20,0))</f>
        <v>P0 The Second Mission</v>
      </c>
      <c r="M7" s="26" t="str">
        <f aca="false">INDEX(Themes!$C$5:$C$20,MATCH(C7,Themes!$A$5:$A$20,0))</f>
        <v>Awareness</v>
      </c>
    </row>
    <row r="8" customFormat="false" ht="15" hidden="false" customHeight="false" outlineLevel="0" collapsed="false">
      <c r="A8" s="21" t="n">
        <v>4</v>
      </c>
      <c r="B8" s="21" t="n">
        <v>1</v>
      </c>
      <c r="C8" s="21" t="n">
        <v>1</v>
      </c>
      <c r="D8" s="22" t="str">
        <f aca="false">INDEX(Themes!$E$5:$E$20,MATCH(C8,Themes!$A$5:$A$20,0))</f>
        <v>Your second mission begins here</v>
      </c>
      <c r="E8" s="21" t="s">
        <v>13</v>
      </c>
      <c r="F8" s="13" t="s">
        <v>168</v>
      </c>
      <c r="G8" s="23" t="n">
        <f aca="false">Assumptions!$B$4+(B8-1)*7+J8</f>
        <v>46310</v>
      </c>
      <c r="H8" s="21" t="str">
        <f aca="false">TEXT(G8,"ddd")</f>
        <v>Thu</v>
      </c>
      <c r="I8" s="24" t="n">
        <v>0.75</v>
      </c>
      <c r="J8" s="25" t="n">
        <v>3</v>
      </c>
      <c r="K8" s="21" t="s">
        <v>165</v>
      </c>
      <c r="L8" s="26" t="str">
        <f aca="false">INDEX(Themes!$D$5:$D$20,MATCH(C8,Themes!$A$5:$A$20,0))</f>
        <v>P0 The Second Mission</v>
      </c>
      <c r="M8" s="26" t="str">
        <f aca="false">INDEX(Themes!$C$5:$C$20,MATCH(C8,Themes!$A$5:$A$20,0))</f>
        <v>Awareness</v>
      </c>
    </row>
    <row r="9" customFormat="false" ht="15" hidden="false" customHeight="false" outlineLevel="0" collapsed="false">
      <c r="A9" s="21" t="n">
        <v>5</v>
      </c>
      <c r="B9" s="21" t="n">
        <v>1</v>
      </c>
      <c r="C9" s="21" t="n">
        <v>2</v>
      </c>
      <c r="D9" s="22" t="str">
        <f aca="false">INDEX(Themes!$E$5:$E$20,MATCH(C9,Themes!$A$5:$A$20,0))</f>
        <v>Your service skills are civilian skills</v>
      </c>
      <c r="E9" s="21" t="s">
        <v>12</v>
      </c>
      <c r="F9" s="13" t="s">
        <v>166</v>
      </c>
      <c r="G9" s="23" t="n">
        <f aca="false">Assumptions!$B$4+(B9-1)*7+J9</f>
        <v>46311</v>
      </c>
      <c r="H9" s="21" t="str">
        <f aca="false">TEXT(G9,"ddd")</f>
        <v>Fri</v>
      </c>
      <c r="I9" s="24" t="n">
        <v>0.416666666666667</v>
      </c>
      <c r="J9" s="25" t="n">
        <v>4</v>
      </c>
      <c r="K9" s="21" t="s">
        <v>165</v>
      </c>
      <c r="L9" s="26" t="str">
        <f aca="false">INDEX(Themes!$D$5:$D$20,MATCH(C9,Themes!$A$5:$A$20,0))</f>
        <v>P1 Your Skills, Translated</v>
      </c>
      <c r="M9" s="26" t="str">
        <f aca="false">INDEX(Themes!$C$5:$C$20,MATCH(C9,Themes!$A$5:$A$20,0))</f>
        <v>Awareness</v>
      </c>
    </row>
    <row r="10" customFormat="false" ht="15" hidden="false" customHeight="false" outlineLevel="0" collapsed="false">
      <c r="A10" s="21" t="n">
        <v>6</v>
      </c>
      <c r="B10" s="21" t="n">
        <v>1</v>
      </c>
      <c r="C10" s="21" t="n">
        <v>2</v>
      </c>
      <c r="D10" s="22" t="str">
        <f aca="false">INDEX(Themes!$E$5:$E$20,MATCH(C10,Themes!$A$5:$A$20,0))</f>
        <v>Your service skills are civilian skills</v>
      </c>
      <c r="E10" s="21" t="s">
        <v>11</v>
      </c>
      <c r="F10" s="13" t="s">
        <v>164</v>
      </c>
      <c r="G10" s="23" t="n">
        <f aca="false">Assumptions!$B$4+(B10-1)*7+J10</f>
        <v>46311</v>
      </c>
      <c r="H10" s="21" t="str">
        <f aca="false">TEXT(G10,"ddd")</f>
        <v>Fri</v>
      </c>
      <c r="I10" s="24" t="n">
        <v>0.520833333333333</v>
      </c>
      <c r="J10" s="25" t="n">
        <v>4</v>
      </c>
      <c r="K10" s="21" t="s">
        <v>165</v>
      </c>
      <c r="L10" s="26" t="str">
        <f aca="false">INDEX(Themes!$D$5:$D$20,MATCH(C10,Themes!$A$5:$A$20,0))</f>
        <v>P1 Your Skills, Translated</v>
      </c>
      <c r="M10" s="26" t="str">
        <f aca="false">INDEX(Themes!$C$5:$C$20,MATCH(C10,Themes!$A$5:$A$20,0))</f>
        <v>Awareness</v>
      </c>
    </row>
    <row r="11" customFormat="false" ht="15" hidden="false" customHeight="false" outlineLevel="0" collapsed="false">
      <c r="A11" s="21" t="n">
        <v>7</v>
      </c>
      <c r="B11" s="21" t="n">
        <v>1</v>
      </c>
      <c r="C11" s="21" t="n">
        <v>2</v>
      </c>
      <c r="D11" s="22" t="str">
        <f aca="false">INDEX(Themes!$E$5:$E$20,MATCH(C11,Themes!$A$5:$A$20,0))</f>
        <v>Your service skills are civilian skills</v>
      </c>
      <c r="E11" s="21" t="s">
        <v>13</v>
      </c>
      <c r="F11" s="13" t="s">
        <v>168</v>
      </c>
      <c r="G11" s="23" t="n">
        <f aca="false">Assumptions!$B$4+(B11-1)*7+J11</f>
        <v>46312</v>
      </c>
      <c r="H11" s="21" t="str">
        <f aca="false">TEXT(G11,"ddd")</f>
        <v>Sat</v>
      </c>
      <c r="I11" s="24" t="n">
        <v>0.75</v>
      </c>
      <c r="J11" s="25" t="n">
        <v>5</v>
      </c>
      <c r="K11" s="21" t="s">
        <v>165</v>
      </c>
      <c r="L11" s="26" t="str">
        <f aca="false">INDEX(Themes!$D$5:$D$20,MATCH(C11,Themes!$A$5:$A$20,0))</f>
        <v>P1 Your Skills, Translated</v>
      </c>
      <c r="M11" s="26" t="str">
        <f aca="false">INDEX(Themes!$C$5:$C$20,MATCH(C11,Themes!$A$5:$A$20,0))</f>
        <v>Awareness</v>
      </c>
    </row>
    <row r="12" customFormat="false" ht="15" hidden="false" customHeight="false" outlineLevel="0" collapsed="false">
      <c r="A12" s="21" t="n">
        <v>8</v>
      </c>
      <c r="B12" s="21" t="n">
        <v>1</v>
      </c>
      <c r="C12" s="21" t="n">
        <v>2</v>
      </c>
      <c r="D12" s="22" t="str">
        <f aca="false">INDEX(Themes!$E$5:$E$20,MATCH(C12,Themes!$A$5:$A$20,0))</f>
        <v>Your service skills are civilian skills</v>
      </c>
      <c r="E12" s="21" t="s">
        <v>14</v>
      </c>
      <c r="F12" s="13" t="s">
        <v>167</v>
      </c>
      <c r="G12" s="23" t="n">
        <f aca="false">Assumptions!$B$4+(B12-1)*7+J12</f>
        <v>46312</v>
      </c>
      <c r="H12" s="21" t="str">
        <f aca="false">TEXT(G12,"ddd")</f>
        <v>Sat</v>
      </c>
      <c r="I12" s="24" t="n">
        <v>0.791666666666667</v>
      </c>
      <c r="J12" s="25" t="n">
        <v>5</v>
      </c>
      <c r="K12" s="21" t="s">
        <v>165</v>
      </c>
      <c r="L12" s="26" t="str">
        <f aca="false">INDEX(Themes!$D$5:$D$20,MATCH(C12,Themes!$A$5:$A$20,0))</f>
        <v>P1 Your Skills, Translated</v>
      </c>
      <c r="M12" s="26" t="str">
        <f aca="false">INDEX(Themes!$C$5:$C$20,MATCH(C12,Themes!$A$5:$A$20,0))</f>
        <v>Awareness</v>
      </c>
    </row>
    <row r="13" customFormat="false" ht="15" hidden="false" customHeight="false" outlineLevel="0" collapsed="false">
      <c r="A13" s="27" t="n">
        <v>9</v>
      </c>
      <c r="B13" s="27" t="n">
        <v>2</v>
      </c>
      <c r="C13" s="27" t="n">
        <v>3</v>
      </c>
      <c r="D13" s="28" t="str">
        <f aca="false">INDEX(Themes!$E$5:$E$20,MATCH(C13,Themes!$A$5:$A$20,0))</f>
        <v>Thirty seconds to your profile</v>
      </c>
      <c r="E13" s="27" t="s">
        <v>11</v>
      </c>
      <c r="F13" s="15" t="s">
        <v>164</v>
      </c>
      <c r="G13" s="29" t="n">
        <f aca="false">Assumptions!$B$4+(B13-1)*7+J13</f>
        <v>46315</v>
      </c>
      <c r="H13" s="27" t="str">
        <f aca="false">TEXT(G13,"ddd")</f>
        <v>Tue</v>
      </c>
      <c r="I13" s="30" t="n">
        <v>0.395833333333333</v>
      </c>
      <c r="J13" s="31" t="n">
        <v>1</v>
      </c>
      <c r="K13" s="27" t="s">
        <v>165</v>
      </c>
      <c r="L13" s="32" t="str">
        <f aca="false">INDEX(Themes!$D$5:$D$20,MATCH(C13,Themes!$A$5:$A$20,0))</f>
        <v>P1 Your Skills, Translated</v>
      </c>
      <c r="M13" s="32" t="str">
        <f aca="false">INDEX(Themes!$C$5:$C$20,MATCH(C13,Themes!$A$5:$A$20,0))</f>
        <v>Discover</v>
      </c>
    </row>
    <row r="14" customFormat="false" ht="15" hidden="false" customHeight="false" outlineLevel="0" collapsed="false">
      <c r="A14" s="27" t="n">
        <v>10</v>
      </c>
      <c r="B14" s="27" t="n">
        <v>2</v>
      </c>
      <c r="C14" s="27" t="n">
        <v>3</v>
      </c>
      <c r="D14" s="28" t="str">
        <f aca="false">INDEX(Themes!$E$5:$E$20,MATCH(C14,Themes!$A$5:$A$20,0))</f>
        <v>Thirty seconds to your profile</v>
      </c>
      <c r="E14" s="27" t="s">
        <v>12</v>
      </c>
      <c r="F14" s="15" t="s">
        <v>166</v>
      </c>
      <c r="G14" s="29" t="n">
        <f aca="false">Assumptions!$B$4+(B14-1)*7+J14</f>
        <v>46315</v>
      </c>
      <c r="H14" s="27" t="str">
        <f aca="false">TEXT(G14,"ddd")</f>
        <v>Tue</v>
      </c>
      <c r="I14" s="30" t="n">
        <v>0.416666666666667</v>
      </c>
      <c r="J14" s="31" t="n">
        <v>1</v>
      </c>
      <c r="K14" s="27" t="s">
        <v>165</v>
      </c>
      <c r="L14" s="32" t="str">
        <f aca="false">INDEX(Themes!$D$5:$D$20,MATCH(C14,Themes!$A$5:$A$20,0))</f>
        <v>P1 Your Skills, Translated</v>
      </c>
      <c r="M14" s="32" t="str">
        <f aca="false">INDEX(Themes!$C$5:$C$20,MATCH(C14,Themes!$A$5:$A$20,0))</f>
        <v>Discover</v>
      </c>
    </row>
    <row r="15" customFormat="false" ht="15" hidden="false" customHeight="false" outlineLevel="0" collapsed="false">
      <c r="A15" s="27" t="n">
        <v>11</v>
      </c>
      <c r="B15" s="27" t="n">
        <v>2</v>
      </c>
      <c r="C15" s="27" t="n">
        <v>3</v>
      </c>
      <c r="D15" s="28" t="str">
        <f aca="false">INDEX(Themes!$E$5:$E$20,MATCH(C15,Themes!$A$5:$A$20,0))</f>
        <v>Thirty seconds to your profile</v>
      </c>
      <c r="E15" s="27" t="s">
        <v>14</v>
      </c>
      <c r="F15" s="15" t="s">
        <v>167</v>
      </c>
      <c r="G15" s="29" t="n">
        <f aca="false">Assumptions!$B$4+(B15-1)*7+J15</f>
        <v>46316</v>
      </c>
      <c r="H15" s="27" t="str">
        <f aca="false">TEXT(G15,"ddd")</f>
        <v>Wed</v>
      </c>
      <c r="I15" s="30" t="n">
        <v>0.791666666666667</v>
      </c>
      <c r="J15" s="31" t="n">
        <v>2</v>
      </c>
      <c r="K15" s="27" t="s">
        <v>165</v>
      </c>
      <c r="L15" s="32" t="str">
        <f aca="false">INDEX(Themes!$D$5:$D$20,MATCH(C15,Themes!$A$5:$A$20,0))</f>
        <v>P1 Your Skills, Translated</v>
      </c>
      <c r="M15" s="32" t="str">
        <f aca="false">INDEX(Themes!$C$5:$C$20,MATCH(C15,Themes!$A$5:$A$20,0))</f>
        <v>Discover</v>
      </c>
    </row>
    <row r="16" customFormat="false" ht="15" hidden="false" customHeight="false" outlineLevel="0" collapsed="false">
      <c r="A16" s="27" t="n">
        <v>12</v>
      </c>
      <c r="B16" s="27" t="n">
        <v>2</v>
      </c>
      <c r="C16" s="27" t="n">
        <v>3</v>
      </c>
      <c r="D16" s="28" t="str">
        <f aca="false">INDEX(Themes!$E$5:$E$20,MATCH(C16,Themes!$A$5:$A$20,0))</f>
        <v>Thirty seconds to your profile</v>
      </c>
      <c r="E16" s="27" t="s">
        <v>13</v>
      </c>
      <c r="F16" s="15" t="s">
        <v>168</v>
      </c>
      <c r="G16" s="29" t="n">
        <f aca="false">Assumptions!$B$4+(B16-1)*7+J16</f>
        <v>46317</v>
      </c>
      <c r="H16" s="27" t="str">
        <f aca="false">TEXT(G16,"ddd")</f>
        <v>Thu</v>
      </c>
      <c r="I16" s="30" t="n">
        <v>0.75</v>
      </c>
      <c r="J16" s="31" t="n">
        <v>3</v>
      </c>
      <c r="K16" s="27" t="s">
        <v>165</v>
      </c>
      <c r="L16" s="32" t="str">
        <f aca="false">INDEX(Themes!$D$5:$D$20,MATCH(C16,Themes!$A$5:$A$20,0))</f>
        <v>P1 Your Skills, Translated</v>
      </c>
      <c r="M16" s="32" t="str">
        <f aca="false">INDEX(Themes!$C$5:$C$20,MATCH(C16,Themes!$A$5:$A$20,0))</f>
        <v>Discover</v>
      </c>
    </row>
    <row r="17" customFormat="false" ht="15" hidden="false" customHeight="false" outlineLevel="0" collapsed="false">
      <c r="A17" s="27" t="n">
        <v>13</v>
      </c>
      <c r="B17" s="27" t="n">
        <v>2</v>
      </c>
      <c r="C17" s="27" t="n">
        <v>4</v>
      </c>
      <c r="D17" s="28" t="str">
        <f aca="false">INDEX(Themes!$E$5:$E$20,MATCH(C17,Themes!$A$5:$A$20,0))</f>
        <v>Your Veer Score: know where you stand</v>
      </c>
      <c r="E17" s="27" t="s">
        <v>12</v>
      </c>
      <c r="F17" s="15" t="s">
        <v>166</v>
      </c>
      <c r="G17" s="29" t="n">
        <f aca="false">Assumptions!$B$4+(B17-1)*7+J17</f>
        <v>46318</v>
      </c>
      <c r="H17" s="27" t="str">
        <f aca="false">TEXT(G17,"ddd")</f>
        <v>Fri</v>
      </c>
      <c r="I17" s="30" t="n">
        <v>0.416666666666667</v>
      </c>
      <c r="J17" s="31" t="n">
        <v>4</v>
      </c>
      <c r="K17" s="27" t="s">
        <v>165</v>
      </c>
      <c r="L17" s="32" t="str">
        <f aca="false">INDEX(Themes!$D$5:$D$20,MATCH(C17,Themes!$A$5:$A$20,0))</f>
        <v>P1 Your Skills, Translated</v>
      </c>
      <c r="M17" s="32" t="str">
        <f aca="false">INDEX(Themes!$C$5:$C$20,MATCH(C17,Themes!$A$5:$A$20,0))</f>
        <v>Discover</v>
      </c>
    </row>
    <row r="18" customFormat="false" ht="15" hidden="false" customHeight="false" outlineLevel="0" collapsed="false">
      <c r="A18" s="27" t="n">
        <v>14</v>
      </c>
      <c r="B18" s="27" t="n">
        <v>2</v>
      </c>
      <c r="C18" s="27" t="n">
        <v>4</v>
      </c>
      <c r="D18" s="28" t="str">
        <f aca="false">INDEX(Themes!$E$5:$E$20,MATCH(C18,Themes!$A$5:$A$20,0))</f>
        <v>Your Veer Score: know where you stand</v>
      </c>
      <c r="E18" s="27" t="s">
        <v>11</v>
      </c>
      <c r="F18" s="15" t="s">
        <v>164</v>
      </c>
      <c r="G18" s="29" t="n">
        <f aca="false">Assumptions!$B$4+(B18-1)*7+J18</f>
        <v>46318</v>
      </c>
      <c r="H18" s="27" t="str">
        <f aca="false">TEXT(G18,"ddd")</f>
        <v>Fri</v>
      </c>
      <c r="I18" s="30" t="n">
        <v>0.520833333333333</v>
      </c>
      <c r="J18" s="31" t="n">
        <v>4</v>
      </c>
      <c r="K18" s="27" t="s">
        <v>165</v>
      </c>
      <c r="L18" s="32" t="str">
        <f aca="false">INDEX(Themes!$D$5:$D$20,MATCH(C18,Themes!$A$5:$A$20,0))</f>
        <v>P1 Your Skills, Translated</v>
      </c>
      <c r="M18" s="32" t="str">
        <f aca="false">INDEX(Themes!$C$5:$C$20,MATCH(C18,Themes!$A$5:$A$20,0))</f>
        <v>Discover</v>
      </c>
    </row>
    <row r="19" customFormat="false" ht="15" hidden="false" customHeight="false" outlineLevel="0" collapsed="false">
      <c r="A19" s="27" t="n">
        <v>15</v>
      </c>
      <c r="B19" s="27" t="n">
        <v>2</v>
      </c>
      <c r="C19" s="27" t="n">
        <v>4</v>
      </c>
      <c r="D19" s="28" t="str">
        <f aca="false">INDEX(Themes!$E$5:$E$20,MATCH(C19,Themes!$A$5:$A$20,0))</f>
        <v>Your Veer Score: know where you stand</v>
      </c>
      <c r="E19" s="27" t="s">
        <v>13</v>
      </c>
      <c r="F19" s="15" t="s">
        <v>168</v>
      </c>
      <c r="G19" s="29" t="n">
        <f aca="false">Assumptions!$B$4+(B19-1)*7+J19</f>
        <v>46319</v>
      </c>
      <c r="H19" s="27" t="str">
        <f aca="false">TEXT(G19,"ddd")</f>
        <v>Sat</v>
      </c>
      <c r="I19" s="30" t="n">
        <v>0.75</v>
      </c>
      <c r="J19" s="31" t="n">
        <v>5</v>
      </c>
      <c r="K19" s="27" t="s">
        <v>165</v>
      </c>
      <c r="L19" s="32" t="str">
        <f aca="false">INDEX(Themes!$D$5:$D$20,MATCH(C19,Themes!$A$5:$A$20,0))</f>
        <v>P1 Your Skills, Translated</v>
      </c>
      <c r="M19" s="32" t="str">
        <f aca="false">INDEX(Themes!$C$5:$C$20,MATCH(C19,Themes!$A$5:$A$20,0))</f>
        <v>Discover</v>
      </c>
    </row>
    <row r="20" customFormat="false" ht="15" hidden="false" customHeight="false" outlineLevel="0" collapsed="false">
      <c r="A20" s="27" t="n">
        <v>16</v>
      </c>
      <c r="B20" s="27" t="n">
        <v>2</v>
      </c>
      <c r="C20" s="27" t="n">
        <v>4</v>
      </c>
      <c r="D20" s="28" t="str">
        <f aca="false">INDEX(Themes!$E$5:$E$20,MATCH(C20,Themes!$A$5:$A$20,0))</f>
        <v>Your Veer Score: know where you stand</v>
      </c>
      <c r="E20" s="27" t="s">
        <v>14</v>
      </c>
      <c r="F20" s="15" t="s">
        <v>167</v>
      </c>
      <c r="G20" s="29" t="n">
        <f aca="false">Assumptions!$B$4+(B20-1)*7+J20</f>
        <v>46319</v>
      </c>
      <c r="H20" s="27" t="str">
        <f aca="false">TEXT(G20,"ddd")</f>
        <v>Sat</v>
      </c>
      <c r="I20" s="30" t="n">
        <v>0.791666666666667</v>
      </c>
      <c r="J20" s="31" t="n">
        <v>5</v>
      </c>
      <c r="K20" s="27" t="s">
        <v>165</v>
      </c>
      <c r="L20" s="32" t="str">
        <f aca="false">INDEX(Themes!$D$5:$D$20,MATCH(C20,Themes!$A$5:$A$20,0))</f>
        <v>P1 Your Skills, Translated</v>
      </c>
      <c r="M20" s="32" t="str">
        <f aca="false">INDEX(Themes!$C$5:$C$20,MATCH(C20,Themes!$A$5:$A$20,0))</f>
        <v>Discover</v>
      </c>
    </row>
    <row r="21" customFormat="false" ht="15" hidden="false" customHeight="false" outlineLevel="0" collapsed="false">
      <c r="A21" s="21" t="n">
        <v>17</v>
      </c>
      <c r="B21" s="21" t="n">
        <v>3</v>
      </c>
      <c r="C21" s="21" t="n">
        <v>5</v>
      </c>
      <c r="D21" s="22" t="str">
        <f aca="false">INDEX(Themes!$E$5:$E$20,MATCH(C21,Themes!$A$5:$A$20,0))</f>
        <v>Every new job, one place</v>
      </c>
      <c r="E21" s="21" t="s">
        <v>11</v>
      </c>
      <c r="F21" s="13" t="s">
        <v>164</v>
      </c>
      <c r="G21" s="23" t="n">
        <f aca="false">Assumptions!$B$4+(B21-1)*7+J21</f>
        <v>46322</v>
      </c>
      <c r="H21" s="21" t="str">
        <f aca="false">TEXT(G21,"ddd")</f>
        <v>Tue</v>
      </c>
      <c r="I21" s="24" t="n">
        <v>0.395833333333333</v>
      </c>
      <c r="J21" s="25" t="n">
        <v>1</v>
      </c>
      <c r="K21" s="21" t="s">
        <v>165</v>
      </c>
      <c r="L21" s="26" t="str">
        <f aca="false">INDEX(Themes!$D$5:$D$20,MATCH(C21,Themes!$A$5:$A$20,0))</f>
        <v>P2 Every Opportunity, One Place</v>
      </c>
      <c r="M21" s="26" t="str">
        <f aca="false">INDEX(Themes!$C$5:$C$20,MATCH(C21,Themes!$A$5:$A$20,0))</f>
        <v>Discover</v>
      </c>
    </row>
    <row r="22" customFormat="false" ht="15" hidden="false" customHeight="false" outlineLevel="0" collapsed="false">
      <c r="A22" s="21" t="n">
        <v>18</v>
      </c>
      <c r="B22" s="21" t="n">
        <v>3</v>
      </c>
      <c r="C22" s="21" t="n">
        <v>5</v>
      </c>
      <c r="D22" s="22" t="str">
        <f aca="false">INDEX(Themes!$E$5:$E$20,MATCH(C22,Themes!$A$5:$A$20,0))</f>
        <v>Every new job, one place</v>
      </c>
      <c r="E22" s="21" t="s">
        <v>12</v>
      </c>
      <c r="F22" s="13" t="s">
        <v>166</v>
      </c>
      <c r="G22" s="23" t="n">
        <f aca="false">Assumptions!$B$4+(B22-1)*7+J22</f>
        <v>46322</v>
      </c>
      <c r="H22" s="21" t="str">
        <f aca="false">TEXT(G22,"ddd")</f>
        <v>Tue</v>
      </c>
      <c r="I22" s="24" t="n">
        <v>0.416666666666667</v>
      </c>
      <c r="J22" s="25" t="n">
        <v>1</v>
      </c>
      <c r="K22" s="21" t="s">
        <v>165</v>
      </c>
      <c r="L22" s="26" t="str">
        <f aca="false">INDEX(Themes!$D$5:$D$20,MATCH(C22,Themes!$A$5:$A$20,0))</f>
        <v>P2 Every Opportunity, One Place</v>
      </c>
      <c r="M22" s="26" t="str">
        <f aca="false">INDEX(Themes!$C$5:$C$20,MATCH(C22,Themes!$A$5:$A$20,0))</f>
        <v>Discover</v>
      </c>
    </row>
    <row r="23" customFormat="false" ht="15" hidden="false" customHeight="false" outlineLevel="0" collapsed="false">
      <c r="A23" s="21" t="n">
        <v>19</v>
      </c>
      <c r="B23" s="21" t="n">
        <v>3</v>
      </c>
      <c r="C23" s="21" t="n">
        <v>5</v>
      </c>
      <c r="D23" s="22" t="str">
        <f aca="false">INDEX(Themes!$E$5:$E$20,MATCH(C23,Themes!$A$5:$A$20,0))</f>
        <v>Every new job, one place</v>
      </c>
      <c r="E23" s="21" t="s">
        <v>14</v>
      </c>
      <c r="F23" s="13" t="s">
        <v>167</v>
      </c>
      <c r="G23" s="23" t="n">
        <f aca="false">Assumptions!$B$4+(B23-1)*7+J23</f>
        <v>46323</v>
      </c>
      <c r="H23" s="21" t="str">
        <f aca="false">TEXT(G23,"ddd")</f>
        <v>Wed</v>
      </c>
      <c r="I23" s="24" t="n">
        <v>0.791666666666667</v>
      </c>
      <c r="J23" s="25" t="n">
        <v>2</v>
      </c>
      <c r="K23" s="21" t="s">
        <v>165</v>
      </c>
      <c r="L23" s="26" t="str">
        <f aca="false">INDEX(Themes!$D$5:$D$20,MATCH(C23,Themes!$A$5:$A$20,0))</f>
        <v>P2 Every Opportunity, One Place</v>
      </c>
      <c r="M23" s="26" t="str">
        <f aca="false">INDEX(Themes!$C$5:$C$20,MATCH(C23,Themes!$A$5:$A$20,0))</f>
        <v>Discover</v>
      </c>
    </row>
    <row r="24" customFormat="false" ht="15" hidden="false" customHeight="false" outlineLevel="0" collapsed="false">
      <c r="A24" s="21" t="n">
        <v>20</v>
      </c>
      <c r="B24" s="21" t="n">
        <v>3</v>
      </c>
      <c r="C24" s="21" t="n">
        <v>5</v>
      </c>
      <c r="D24" s="22" t="str">
        <f aca="false">INDEX(Themes!$E$5:$E$20,MATCH(C24,Themes!$A$5:$A$20,0))</f>
        <v>Every new job, one place</v>
      </c>
      <c r="E24" s="21" t="s">
        <v>13</v>
      </c>
      <c r="F24" s="13" t="s">
        <v>168</v>
      </c>
      <c r="G24" s="23" t="n">
        <f aca="false">Assumptions!$B$4+(B24-1)*7+J24</f>
        <v>46324</v>
      </c>
      <c r="H24" s="21" t="str">
        <f aca="false">TEXT(G24,"ddd")</f>
        <v>Thu</v>
      </c>
      <c r="I24" s="24" t="n">
        <v>0.75</v>
      </c>
      <c r="J24" s="25" t="n">
        <v>3</v>
      </c>
      <c r="K24" s="21" t="s">
        <v>165</v>
      </c>
      <c r="L24" s="26" t="str">
        <f aca="false">INDEX(Themes!$D$5:$D$20,MATCH(C24,Themes!$A$5:$A$20,0))</f>
        <v>P2 Every Opportunity, One Place</v>
      </c>
      <c r="M24" s="26" t="str">
        <f aca="false">INDEX(Themes!$C$5:$C$20,MATCH(C24,Themes!$A$5:$A$20,0))</f>
        <v>Discover</v>
      </c>
    </row>
    <row r="25" customFormat="false" ht="15" hidden="false" customHeight="false" outlineLevel="0" collapsed="false">
      <c r="A25" s="21" t="n">
        <v>21</v>
      </c>
      <c r="B25" s="21" t="n">
        <v>3</v>
      </c>
      <c r="C25" s="21" t="n">
        <v>6</v>
      </c>
      <c r="D25" s="22" t="str">
        <f aca="false">INDEX(Themes!$E$5:$E$20,MATCH(C25,Themes!$A$5:$A$20,0))</f>
        <v>Never miss a benefit meant for you</v>
      </c>
      <c r="E25" s="21" t="s">
        <v>12</v>
      </c>
      <c r="F25" s="13" t="s">
        <v>166</v>
      </c>
      <c r="G25" s="23" t="n">
        <f aca="false">Assumptions!$B$4+(B25-1)*7+J25</f>
        <v>46325</v>
      </c>
      <c r="H25" s="21" t="str">
        <f aca="false">TEXT(G25,"ddd")</f>
        <v>Fri</v>
      </c>
      <c r="I25" s="24" t="n">
        <v>0.416666666666667</v>
      </c>
      <c r="J25" s="25" t="n">
        <v>4</v>
      </c>
      <c r="K25" s="21" t="s">
        <v>165</v>
      </c>
      <c r="L25" s="26" t="str">
        <f aca="false">INDEX(Themes!$D$5:$D$20,MATCH(C25,Themes!$A$5:$A$20,0))</f>
        <v>P2 Every Opportunity, One Place</v>
      </c>
      <c r="M25" s="26" t="str">
        <f aca="false">INDEX(Themes!$C$5:$C$20,MATCH(C25,Themes!$A$5:$A$20,0))</f>
        <v>Discover</v>
      </c>
    </row>
    <row r="26" customFormat="false" ht="15" hidden="false" customHeight="false" outlineLevel="0" collapsed="false">
      <c r="A26" s="21" t="n">
        <v>22</v>
      </c>
      <c r="B26" s="21" t="n">
        <v>3</v>
      </c>
      <c r="C26" s="21" t="n">
        <v>6</v>
      </c>
      <c r="D26" s="22" t="str">
        <f aca="false">INDEX(Themes!$E$5:$E$20,MATCH(C26,Themes!$A$5:$A$20,0))</f>
        <v>Never miss a benefit meant for you</v>
      </c>
      <c r="E26" s="21" t="s">
        <v>11</v>
      </c>
      <c r="F26" s="13" t="s">
        <v>164</v>
      </c>
      <c r="G26" s="23" t="n">
        <f aca="false">Assumptions!$B$4+(B26-1)*7+J26</f>
        <v>46325</v>
      </c>
      <c r="H26" s="21" t="str">
        <f aca="false">TEXT(G26,"ddd")</f>
        <v>Fri</v>
      </c>
      <c r="I26" s="24" t="n">
        <v>0.520833333333333</v>
      </c>
      <c r="J26" s="25" t="n">
        <v>4</v>
      </c>
      <c r="K26" s="21" t="s">
        <v>165</v>
      </c>
      <c r="L26" s="26" t="str">
        <f aca="false">INDEX(Themes!$D$5:$D$20,MATCH(C26,Themes!$A$5:$A$20,0))</f>
        <v>P2 Every Opportunity, One Place</v>
      </c>
      <c r="M26" s="26" t="str">
        <f aca="false">INDEX(Themes!$C$5:$C$20,MATCH(C26,Themes!$A$5:$A$20,0))</f>
        <v>Discover</v>
      </c>
    </row>
    <row r="27" customFormat="false" ht="15" hidden="false" customHeight="false" outlineLevel="0" collapsed="false">
      <c r="A27" s="21" t="n">
        <v>23</v>
      </c>
      <c r="B27" s="21" t="n">
        <v>3</v>
      </c>
      <c r="C27" s="21" t="n">
        <v>6</v>
      </c>
      <c r="D27" s="22" t="str">
        <f aca="false">INDEX(Themes!$E$5:$E$20,MATCH(C27,Themes!$A$5:$A$20,0))</f>
        <v>Never miss a benefit meant for you</v>
      </c>
      <c r="E27" s="21" t="s">
        <v>13</v>
      </c>
      <c r="F27" s="13" t="s">
        <v>168</v>
      </c>
      <c r="G27" s="23" t="n">
        <f aca="false">Assumptions!$B$4+(B27-1)*7+J27</f>
        <v>46326</v>
      </c>
      <c r="H27" s="21" t="str">
        <f aca="false">TEXT(G27,"ddd")</f>
        <v>Sat</v>
      </c>
      <c r="I27" s="24" t="n">
        <v>0.75</v>
      </c>
      <c r="J27" s="25" t="n">
        <v>5</v>
      </c>
      <c r="K27" s="21" t="s">
        <v>165</v>
      </c>
      <c r="L27" s="26" t="str">
        <f aca="false">INDEX(Themes!$D$5:$D$20,MATCH(C27,Themes!$A$5:$A$20,0))</f>
        <v>P2 Every Opportunity, One Place</v>
      </c>
      <c r="M27" s="26" t="str">
        <f aca="false">INDEX(Themes!$C$5:$C$20,MATCH(C27,Themes!$A$5:$A$20,0))</f>
        <v>Discover</v>
      </c>
    </row>
    <row r="28" customFormat="false" ht="15" hidden="false" customHeight="false" outlineLevel="0" collapsed="false">
      <c r="A28" s="21" t="n">
        <v>24</v>
      </c>
      <c r="B28" s="21" t="n">
        <v>3</v>
      </c>
      <c r="C28" s="21" t="n">
        <v>6</v>
      </c>
      <c r="D28" s="22" t="str">
        <f aca="false">INDEX(Themes!$E$5:$E$20,MATCH(C28,Themes!$A$5:$A$20,0))</f>
        <v>Never miss a benefit meant for you</v>
      </c>
      <c r="E28" s="21" t="s">
        <v>14</v>
      </c>
      <c r="F28" s="13" t="s">
        <v>167</v>
      </c>
      <c r="G28" s="23" t="n">
        <f aca="false">Assumptions!$B$4+(B28-1)*7+J28</f>
        <v>46326</v>
      </c>
      <c r="H28" s="21" t="str">
        <f aca="false">TEXT(G28,"ddd")</f>
        <v>Sat</v>
      </c>
      <c r="I28" s="24" t="n">
        <v>0.791666666666667</v>
      </c>
      <c r="J28" s="25" t="n">
        <v>5</v>
      </c>
      <c r="K28" s="21" t="s">
        <v>165</v>
      </c>
      <c r="L28" s="26" t="str">
        <f aca="false">INDEX(Themes!$D$5:$D$20,MATCH(C28,Themes!$A$5:$A$20,0))</f>
        <v>P2 Every Opportunity, One Place</v>
      </c>
      <c r="M28" s="26" t="str">
        <f aca="false">INDEX(Themes!$C$5:$C$20,MATCH(C28,Themes!$A$5:$A$20,0))</f>
        <v>Discover</v>
      </c>
    </row>
    <row r="29" customFormat="false" ht="15" hidden="false" customHeight="false" outlineLevel="0" collapsed="false">
      <c r="A29" s="27" t="n">
        <v>25</v>
      </c>
      <c r="B29" s="27" t="n">
        <v>4</v>
      </c>
      <c r="C29" s="27" t="n">
        <v>7</v>
      </c>
      <c r="D29" s="28" t="str">
        <f aca="false">INDEX(Themes!$E$5:$E$20,MATCH(C29,Themes!$A$5:$A$20,0))</f>
        <v>From target job to study plan</v>
      </c>
      <c r="E29" s="27" t="s">
        <v>11</v>
      </c>
      <c r="F29" s="15" t="s">
        <v>164</v>
      </c>
      <c r="G29" s="29" t="n">
        <f aca="false">Assumptions!$B$4+(B29-1)*7+J29</f>
        <v>46329</v>
      </c>
      <c r="H29" s="27" t="str">
        <f aca="false">TEXT(G29,"ddd")</f>
        <v>Tue</v>
      </c>
      <c r="I29" s="30" t="n">
        <v>0.395833333333333</v>
      </c>
      <c r="J29" s="31" t="n">
        <v>1</v>
      </c>
      <c r="K29" s="27" t="s">
        <v>165</v>
      </c>
      <c r="L29" s="32" t="str">
        <f aca="false">INDEX(Themes!$D$5:$D$20,MATCH(C29,Themes!$A$5:$A$20,0))</f>
        <v>P3 Prepare to Win</v>
      </c>
      <c r="M29" s="32" t="str">
        <f aca="false">INDEX(Themes!$C$5:$C$20,MATCH(C29,Themes!$A$5:$A$20,0))</f>
        <v>Prepare</v>
      </c>
    </row>
    <row r="30" customFormat="false" ht="15" hidden="false" customHeight="false" outlineLevel="0" collapsed="false">
      <c r="A30" s="27" t="n">
        <v>26</v>
      </c>
      <c r="B30" s="27" t="n">
        <v>4</v>
      </c>
      <c r="C30" s="27" t="n">
        <v>7</v>
      </c>
      <c r="D30" s="28" t="str">
        <f aca="false">INDEX(Themes!$E$5:$E$20,MATCH(C30,Themes!$A$5:$A$20,0))</f>
        <v>From target job to study plan</v>
      </c>
      <c r="E30" s="27" t="s">
        <v>12</v>
      </c>
      <c r="F30" s="15" t="s">
        <v>166</v>
      </c>
      <c r="G30" s="29" t="n">
        <f aca="false">Assumptions!$B$4+(B30-1)*7+J30</f>
        <v>46329</v>
      </c>
      <c r="H30" s="27" t="str">
        <f aca="false">TEXT(G30,"ddd")</f>
        <v>Tue</v>
      </c>
      <c r="I30" s="30" t="n">
        <v>0.416666666666667</v>
      </c>
      <c r="J30" s="31" t="n">
        <v>1</v>
      </c>
      <c r="K30" s="27" t="s">
        <v>165</v>
      </c>
      <c r="L30" s="32" t="str">
        <f aca="false">INDEX(Themes!$D$5:$D$20,MATCH(C30,Themes!$A$5:$A$20,0))</f>
        <v>P3 Prepare to Win</v>
      </c>
      <c r="M30" s="32" t="str">
        <f aca="false">INDEX(Themes!$C$5:$C$20,MATCH(C30,Themes!$A$5:$A$20,0))</f>
        <v>Prepare</v>
      </c>
    </row>
    <row r="31" customFormat="false" ht="15" hidden="false" customHeight="false" outlineLevel="0" collapsed="false">
      <c r="A31" s="27" t="n">
        <v>27</v>
      </c>
      <c r="B31" s="27" t="n">
        <v>4</v>
      </c>
      <c r="C31" s="27" t="n">
        <v>7</v>
      </c>
      <c r="D31" s="28" t="str">
        <f aca="false">INDEX(Themes!$E$5:$E$20,MATCH(C31,Themes!$A$5:$A$20,0))</f>
        <v>From target job to study plan</v>
      </c>
      <c r="E31" s="27" t="s">
        <v>14</v>
      </c>
      <c r="F31" s="15" t="s">
        <v>167</v>
      </c>
      <c r="G31" s="29" t="n">
        <f aca="false">Assumptions!$B$4+(B31-1)*7+J31</f>
        <v>46330</v>
      </c>
      <c r="H31" s="27" t="str">
        <f aca="false">TEXT(G31,"ddd")</f>
        <v>Wed</v>
      </c>
      <c r="I31" s="30" t="n">
        <v>0.791666666666667</v>
      </c>
      <c r="J31" s="31" t="n">
        <v>2</v>
      </c>
      <c r="K31" s="27" t="s">
        <v>165</v>
      </c>
      <c r="L31" s="32" t="str">
        <f aca="false">INDEX(Themes!$D$5:$D$20,MATCH(C31,Themes!$A$5:$A$20,0))</f>
        <v>P3 Prepare to Win</v>
      </c>
      <c r="M31" s="32" t="str">
        <f aca="false">INDEX(Themes!$C$5:$C$20,MATCH(C31,Themes!$A$5:$A$20,0))</f>
        <v>Prepare</v>
      </c>
    </row>
    <row r="32" customFormat="false" ht="15" hidden="false" customHeight="false" outlineLevel="0" collapsed="false">
      <c r="A32" s="27" t="n">
        <v>28</v>
      </c>
      <c r="B32" s="27" t="n">
        <v>4</v>
      </c>
      <c r="C32" s="27" t="n">
        <v>7</v>
      </c>
      <c r="D32" s="28" t="str">
        <f aca="false">INDEX(Themes!$E$5:$E$20,MATCH(C32,Themes!$A$5:$A$20,0))</f>
        <v>From target job to study plan</v>
      </c>
      <c r="E32" s="27" t="s">
        <v>13</v>
      </c>
      <c r="F32" s="15" t="s">
        <v>168</v>
      </c>
      <c r="G32" s="29" t="n">
        <f aca="false">Assumptions!$B$4+(B32-1)*7+J32</f>
        <v>46331</v>
      </c>
      <c r="H32" s="27" t="str">
        <f aca="false">TEXT(G32,"ddd")</f>
        <v>Thu</v>
      </c>
      <c r="I32" s="30" t="n">
        <v>0.75</v>
      </c>
      <c r="J32" s="31" t="n">
        <v>3</v>
      </c>
      <c r="K32" s="27" t="s">
        <v>165</v>
      </c>
      <c r="L32" s="32" t="str">
        <f aca="false">INDEX(Themes!$D$5:$D$20,MATCH(C32,Themes!$A$5:$A$20,0))</f>
        <v>P3 Prepare to Win</v>
      </c>
      <c r="M32" s="32" t="str">
        <f aca="false">INDEX(Themes!$C$5:$C$20,MATCH(C32,Themes!$A$5:$A$20,0))</f>
        <v>Prepare</v>
      </c>
    </row>
    <row r="33" customFormat="false" ht="15" hidden="false" customHeight="false" outlineLevel="0" collapsed="false">
      <c r="A33" s="27" t="n">
        <v>29</v>
      </c>
      <c r="B33" s="27" t="n">
        <v>4</v>
      </c>
      <c r="C33" s="27" t="n">
        <v>8</v>
      </c>
      <c r="D33" s="28" t="str">
        <f aca="false">INDEX(Themes!$E$5:$E$20,MATCH(C33,Themes!$A$5:$A$20,0))</f>
        <v>Train like it is your PT schedule</v>
      </c>
      <c r="E33" s="27" t="s">
        <v>12</v>
      </c>
      <c r="F33" s="15" t="s">
        <v>166</v>
      </c>
      <c r="G33" s="29" t="n">
        <f aca="false">Assumptions!$B$4+(B33-1)*7+J33</f>
        <v>46332</v>
      </c>
      <c r="H33" s="27" t="str">
        <f aca="false">TEXT(G33,"ddd")</f>
        <v>Fri</v>
      </c>
      <c r="I33" s="30" t="n">
        <v>0.416666666666667</v>
      </c>
      <c r="J33" s="31" t="n">
        <v>4</v>
      </c>
      <c r="K33" s="27" t="s">
        <v>165</v>
      </c>
      <c r="L33" s="32" t="str">
        <f aca="false">INDEX(Themes!$D$5:$D$20,MATCH(C33,Themes!$A$5:$A$20,0))</f>
        <v>P3 Prepare to Win</v>
      </c>
      <c r="M33" s="32" t="str">
        <f aca="false">INDEX(Themes!$C$5:$C$20,MATCH(C33,Themes!$A$5:$A$20,0))</f>
        <v>Prepare</v>
      </c>
    </row>
    <row r="34" customFormat="false" ht="15" hidden="false" customHeight="false" outlineLevel="0" collapsed="false">
      <c r="A34" s="27" t="n">
        <v>30</v>
      </c>
      <c r="B34" s="27" t="n">
        <v>4</v>
      </c>
      <c r="C34" s="27" t="n">
        <v>8</v>
      </c>
      <c r="D34" s="28" t="str">
        <f aca="false">INDEX(Themes!$E$5:$E$20,MATCH(C34,Themes!$A$5:$A$20,0))</f>
        <v>Train like it is your PT schedule</v>
      </c>
      <c r="E34" s="27" t="s">
        <v>11</v>
      </c>
      <c r="F34" s="15" t="s">
        <v>164</v>
      </c>
      <c r="G34" s="29" t="n">
        <f aca="false">Assumptions!$B$4+(B34-1)*7+J34</f>
        <v>46332</v>
      </c>
      <c r="H34" s="27" t="str">
        <f aca="false">TEXT(G34,"ddd")</f>
        <v>Fri</v>
      </c>
      <c r="I34" s="30" t="n">
        <v>0.520833333333333</v>
      </c>
      <c r="J34" s="31" t="n">
        <v>4</v>
      </c>
      <c r="K34" s="27" t="s">
        <v>165</v>
      </c>
      <c r="L34" s="32" t="str">
        <f aca="false">INDEX(Themes!$D$5:$D$20,MATCH(C34,Themes!$A$5:$A$20,0))</f>
        <v>P3 Prepare to Win</v>
      </c>
      <c r="M34" s="32" t="str">
        <f aca="false">INDEX(Themes!$C$5:$C$20,MATCH(C34,Themes!$A$5:$A$20,0))</f>
        <v>Prepare</v>
      </c>
    </row>
    <row r="35" customFormat="false" ht="15" hidden="false" customHeight="false" outlineLevel="0" collapsed="false">
      <c r="A35" s="27" t="n">
        <v>31</v>
      </c>
      <c r="B35" s="27" t="n">
        <v>4</v>
      </c>
      <c r="C35" s="27" t="n">
        <v>8</v>
      </c>
      <c r="D35" s="28" t="str">
        <f aca="false">INDEX(Themes!$E$5:$E$20,MATCH(C35,Themes!$A$5:$A$20,0))</f>
        <v>Train like it is your PT schedule</v>
      </c>
      <c r="E35" s="27" t="s">
        <v>13</v>
      </c>
      <c r="F35" s="15" t="s">
        <v>168</v>
      </c>
      <c r="G35" s="29" t="n">
        <f aca="false">Assumptions!$B$4+(B35-1)*7+J35</f>
        <v>46333</v>
      </c>
      <c r="H35" s="27" t="str">
        <f aca="false">TEXT(G35,"ddd")</f>
        <v>Sat</v>
      </c>
      <c r="I35" s="30" t="n">
        <v>0.75</v>
      </c>
      <c r="J35" s="31" t="n">
        <v>5</v>
      </c>
      <c r="K35" s="27" t="s">
        <v>165</v>
      </c>
      <c r="L35" s="32" t="str">
        <f aca="false">INDEX(Themes!$D$5:$D$20,MATCH(C35,Themes!$A$5:$A$20,0))</f>
        <v>P3 Prepare to Win</v>
      </c>
      <c r="M35" s="32" t="str">
        <f aca="false">INDEX(Themes!$C$5:$C$20,MATCH(C35,Themes!$A$5:$A$20,0))</f>
        <v>Prepare</v>
      </c>
    </row>
    <row r="36" customFormat="false" ht="15" hidden="false" customHeight="false" outlineLevel="0" collapsed="false">
      <c r="A36" s="27" t="n">
        <v>32</v>
      </c>
      <c r="B36" s="27" t="n">
        <v>4</v>
      </c>
      <c r="C36" s="27" t="n">
        <v>8</v>
      </c>
      <c r="D36" s="28" t="str">
        <f aca="false">INDEX(Themes!$E$5:$E$20,MATCH(C36,Themes!$A$5:$A$20,0))</f>
        <v>Train like it is your PT schedule</v>
      </c>
      <c r="E36" s="27" t="s">
        <v>14</v>
      </c>
      <c r="F36" s="15" t="s">
        <v>167</v>
      </c>
      <c r="G36" s="29" t="n">
        <f aca="false">Assumptions!$B$4+(B36-1)*7+J36</f>
        <v>46333</v>
      </c>
      <c r="H36" s="27" t="str">
        <f aca="false">TEXT(G36,"ddd")</f>
        <v>Sat</v>
      </c>
      <c r="I36" s="30" t="n">
        <v>0.791666666666667</v>
      </c>
      <c r="J36" s="31" t="n">
        <v>5</v>
      </c>
      <c r="K36" s="27" t="s">
        <v>165</v>
      </c>
      <c r="L36" s="32" t="str">
        <f aca="false">INDEX(Themes!$D$5:$D$20,MATCH(C36,Themes!$A$5:$A$20,0))</f>
        <v>P3 Prepare to Win</v>
      </c>
      <c r="M36" s="32" t="str">
        <f aca="false">INDEX(Themes!$C$5:$C$20,MATCH(C36,Themes!$A$5:$A$20,0))</f>
        <v>Prepare</v>
      </c>
    </row>
    <row r="37" customFormat="false" ht="15" hidden="false" customHeight="false" outlineLevel="0" collapsed="false">
      <c r="A37" s="21" t="n">
        <v>33</v>
      </c>
      <c r="B37" s="21" t="n">
        <v>5</v>
      </c>
      <c r="C37" s="21" t="n">
        <v>9</v>
      </c>
      <c r="D37" s="22" t="str">
        <f aca="false">INDEX(Themes!$E$5:$E$20,MATCH(C37,Themes!$A$5:$A$20,0))</f>
        <v>Beyond government: the private sector path</v>
      </c>
      <c r="E37" s="21" t="s">
        <v>11</v>
      </c>
      <c r="F37" s="13" t="s">
        <v>164</v>
      </c>
      <c r="G37" s="23" t="n">
        <f aca="false">Assumptions!$B$4+(B37-1)*7+J37</f>
        <v>46336</v>
      </c>
      <c r="H37" s="21" t="str">
        <f aca="false">TEXT(G37,"ddd")</f>
        <v>Tue</v>
      </c>
      <c r="I37" s="24" t="n">
        <v>0.395833333333333</v>
      </c>
      <c r="J37" s="25" t="n">
        <v>1</v>
      </c>
      <c r="K37" s="21" t="s">
        <v>165</v>
      </c>
      <c r="L37" s="26" t="str">
        <f aca="false">INDEX(Themes!$D$5:$D$20,MATCH(C37,Themes!$A$5:$A$20,0))</f>
        <v>P4 Beyond Government</v>
      </c>
      <c r="M37" s="26" t="str">
        <f aca="false">INDEX(Themes!$C$5:$C$20,MATCH(C37,Themes!$A$5:$A$20,0))</f>
        <v>Career Paths</v>
      </c>
    </row>
    <row r="38" customFormat="false" ht="15" hidden="false" customHeight="false" outlineLevel="0" collapsed="false">
      <c r="A38" s="21" t="n">
        <v>34</v>
      </c>
      <c r="B38" s="21" t="n">
        <v>5</v>
      </c>
      <c r="C38" s="21" t="n">
        <v>9</v>
      </c>
      <c r="D38" s="22" t="str">
        <f aca="false">INDEX(Themes!$E$5:$E$20,MATCH(C38,Themes!$A$5:$A$20,0))</f>
        <v>Beyond government: the private sector path</v>
      </c>
      <c r="E38" s="21" t="s">
        <v>12</v>
      </c>
      <c r="F38" s="13" t="s">
        <v>166</v>
      </c>
      <c r="G38" s="23" t="n">
        <f aca="false">Assumptions!$B$4+(B38-1)*7+J38</f>
        <v>46336</v>
      </c>
      <c r="H38" s="21" t="str">
        <f aca="false">TEXT(G38,"ddd")</f>
        <v>Tue</v>
      </c>
      <c r="I38" s="24" t="n">
        <v>0.416666666666667</v>
      </c>
      <c r="J38" s="25" t="n">
        <v>1</v>
      </c>
      <c r="K38" s="21" t="s">
        <v>165</v>
      </c>
      <c r="L38" s="26" t="str">
        <f aca="false">INDEX(Themes!$D$5:$D$20,MATCH(C38,Themes!$A$5:$A$20,0))</f>
        <v>P4 Beyond Government</v>
      </c>
      <c r="M38" s="26" t="str">
        <f aca="false">INDEX(Themes!$C$5:$C$20,MATCH(C38,Themes!$A$5:$A$20,0))</f>
        <v>Career Paths</v>
      </c>
    </row>
    <row r="39" customFormat="false" ht="15" hidden="false" customHeight="false" outlineLevel="0" collapsed="false">
      <c r="A39" s="21" t="n">
        <v>35</v>
      </c>
      <c r="B39" s="21" t="n">
        <v>5</v>
      </c>
      <c r="C39" s="21" t="n">
        <v>9</v>
      </c>
      <c r="D39" s="22" t="str">
        <f aca="false">INDEX(Themes!$E$5:$E$20,MATCH(C39,Themes!$A$5:$A$20,0))</f>
        <v>Beyond government: the private sector path</v>
      </c>
      <c r="E39" s="21" t="s">
        <v>14</v>
      </c>
      <c r="F39" s="13" t="s">
        <v>167</v>
      </c>
      <c r="G39" s="23" t="n">
        <f aca="false">Assumptions!$B$4+(B39-1)*7+J39</f>
        <v>46337</v>
      </c>
      <c r="H39" s="21" t="str">
        <f aca="false">TEXT(G39,"ddd")</f>
        <v>Wed</v>
      </c>
      <c r="I39" s="24" t="n">
        <v>0.791666666666667</v>
      </c>
      <c r="J39" s="25" t="n">
        <v>2</v>
      </c>
      <c r="K39" s="21" t="s">
        <v>165</v>
      </c>
      <c r="L39" s="26" t="str">
        <f aca="false">INDEX(Themes!$D$5:$D$20,MATCH(C39,Themes!$A$5:$A$20,0))</f>
        <v>P4 Beyond Government</v>
      </c>
      <c r="M39" s="26" t="str">
        <f aca="false">INDEX(Themes!$C$5:$C$20,MATCH(C39,Themes!$A$5:$A$20,0))</f>
        <v>Career Paths</v>
      </c>
    </row>
    <row r="40" customFormat="false" ht="15" hidden="false" customHeight="false" outlineLevel="0" collapsed="false">
      <c r="A40" s="21" t="n">
        <v>36</v>
      </c>
      <c r="B40" s="21" t="n">
        <v>5</v>
      </c>
      <c r="C40" s="21" t="n">
        <v>9</v>
      </c>
      <c r="D40" s="22" t="str">
        <f aca="false">INDEX(Themes!$E$5:$E$20,MATCH(C40,Themes!$A$5:$A$20,0))</f>
        <v>Beyond government: the private sector path</v>
      </c>
      <c r="E40" s="21" t="s">
        <v>13</v>
      </c>
      <c r="F40" s="13" t="s">
        <v>168</v>
      </c>
      <c r="G40" s="23" t="n">
        <f aca="false">Assumptions!$B$4+(B40-1)*7+J40</f>
        <v>46338</v>
      </c>
      <c r="H40" s="21" t="str">
        <f aca="false">TEXT(G40,"ddd")</f>
        <v>Thu</v>
      </c>
      <c r="I40" s="24" t="n">
        <v>0.75</v>
      </c>
      <c r="J40" s="25" t="n">
        <v>3</v>
      </c>
      <c r="K40" s="21" t="s">
        <v>165</v>
      </c>
      <c r="L40" s="26" t="str">
        <f aca="false">INDEX(Themes!$D$5:$D$20,MATCH(C40,Themes!$A$5:$A$20,0))</f>
        <v>P4 Beyond Government</v>
      </c>
      <c r="M40" s="26" t="str">
        <f aca="false">INDEX(Themes!$C$5:$C$20,MATCH(C40,Themes!$A$5:$A$20,0))</f>
        <v>Career Paths</v>
      </c>
    </row>
    <row r="41" customFormat="false" ht="15" hidden="false" customHeight="false" outlineLevel="0" collapsed="false">
      <c r="A41" s="21" t="n">
        <v>37</v>
      </c>
      <c r="B41" s="21" t="n">
        <v>5</v>
      </c>
      <c r="C41" s="21" t="n">
        <v>10</v>
      </c>
      <c r="D41" s="22" t="str">
        <f aca="false">INDEX(Themes!$E$5:$E$20,MATCH(C41,Themes!$A$5:$A$20,0))</f>
        <v>A CV that speaks civilian</v>
      </c>
      <c r="E41" s="21" t="s">
        <v>12</v>
      </c>
      <c r="F41" s="13" t="s">
        <v>166</v>
      </c>
      <c r="G41" s="23" t="n">
        <f aca="false">Assumptions!$B$4+(B41-1)*7+J41</f>
        <v>46339</v>
      </c>
      <c r="H41" s="21" t="str">
        <f aca="false">TEXT(G41,"ddd")</f>
        <v>Fri</v>
      </c>
      <c r="I41" s="24" t="n">
        <v>0.416666666666667</v>
      </c>
      <c r="J41" s="25" t="n">
        <v>4</v>
      </c>
      <c r="K41" s="21" t="s">
        <v>165</v>
      </c>
      <c r="L41" s="26" t="str">
        <f aca="false">INDEX(Themes!$D$5:$D$20,MATCH(C41,Themes!$A$5:$A$20,0))</f>
        <v>P1 Your Skills, Translated</v>
      </c>
      <c r="M41" s="26" t="str">
        <f aca="false">INDEX(Themes!$C$5:$C$20,MATCH(C41,Themes!$A$5:$A$20,0))</f>
        <v>Career Paths</v>
      </c>
    </row>
    <row r="42" customFormat="false" ht="15" hidden="false" customHeight="false" outlineLevel="0" collapsed="false">
      <c r="A42" s="21" t="n">
        <v>38</v>
      </c>
      <c r="B42" s="21" t="n">
        <v>5</v>
      </c>
      <c r="C42" s="21" t="n">
        <v>10</v>
      </c>
      <c r="D42" s="22" t="str">
        <f aca="false">INDEX(Themes!$E$5:$E$20,MATCH(C42,Themes!$A$5:$A$20,0))</f>
        <v>A CV that speaks civilian</v>
      </c>
      <c r="E42" s="21" t="s">
        <v>11</v>
      </c>
      <c r="F42" s="13" t="s">
        <v>164</v>
      </c>
      <c r="G42" s="23" t="n">
        <f aca="false">Assumptions!$B$4+(B42-1)*7+J42</f>
        <v>46339</v>
      </c>
      <c r="H42" s="21" t="str">
        <f aca="false">TEXT(G42,"ddd")</f>
        <v>Fri</v>
      </c>
      <c r="I42" s="24" t="n">
        <v>0.520833333333333</v>
      </c>
      <c r="J42" s="25" t="n">
        <v>4</v>
      </c>
      <c r="K42" s="21" t="s">
        <v>165</v>
      </c>
      <c r="L42" s="26" t="str">
        <f aca="false">INDEX(Themes!$D$5:$D$20,MATCH(C42,Themes!$A$5:$A$20,0))</f>
        <v>P1 Your Skills, Translated</v>
      </c>
      <c r="M42" s="26" t="str">
        <f aca="false">INDEX(Themes!$C$5:$C$20,MATCH(C42,Themes!$A$5:$A$20,0))</f>
        <v>Career Paths</v>
      </c>
    </row>
    <row r="43" customFormat="false" ht="15" hidden="false" customHeight="false" outlineLevel="0" collapsed="false">
      <c r="A43" s="21" t="n">
        <v>39</v>
      </c>
      <c r="B43" s="21" t="n">
        <v>5</v>
      </c>
      <c r="C43" s="21" t="n">
        <v>10</v>
      </c>
      <c r="D43" s="22" t="str">
        <f aca="false">INDEX(Themes!$E$5:$E$20,MATCH(C43,Themes!$A$5:$A$20,0))</f>
        <v>A CV that speaks civilian</v>
      </c>
      <c r="E43" s="21" t="s">
        <v>13</v>
      </c>
      <c r="F43" s="13" t="s">
        <v>168</v>
      </c>
      <c r="G43" s="23" t="n">
        <f aca="false">Assumptions!$B$4+(B43-1)*7+J43</f>
        <v>46340</v>
      </c>
      <c r="H43" s="21" t="str">
        <f aca="false">TEXT(G43,"ddd")</f>
        <v>Sat</v>
      </c>
      <c r="I43" s="24" t="n">
        <v>0.75</v>
      </c>
      <c r="J43" s="25" t="n">
        <v>5</v>
      </c>
      <c r="K43" s="21" t="s">
        <v>165</v>
      </c>
      <c r="L43" s="26" t="str">
        <f aca="false">INDEX(Themes!$D$5:$D$20,MATCH(C43,Themes!$A$5:$A$20,0))</f>
        <v>P1 Your Skills, Translated</v>
      </c>
      <c r="M43" s="26" t="str">
        <f aca="false">INDEX(Themes!$C$5:$C$20,MATCH(C43,Themes!$A$5:$A$20,0))</f>
        <v>Career Paths</v>
      </c>
    </row>
    <row r="44" customFormat="false" ht="15" hidden="false" customHeight="false" outlineLevel="0" collapsed="false">
      <c r="A44" s="21" t="n">
        <v>40</v>
      </c>
      <c r="B44" s="21" t="n">
        <v>5</v>
      </c>
      <c r="C44" s="21" t="n">
        <v>10</v>
      </c>
      <c r="D44" s="22" t="str">
        <f aca="false">INDEX(Themes!$E$5:$E$20,MATCH(C44,Themes!$A$5:$A$20,0))</f>
        <v>A CV that speaks civilian</v>
      </c>
      <c r="E44" s="21" t="s">
        <v>14</v>
      </c>
      <c r="F44" s="13" t="s">
        <v>167</v>
      </c>
      <c r="G44" s="23" t="n">
        <f aca="false">Assumptions!$B$4+(B44-1)*7+J44</f>
        <v>46340</v>
      </c>
      <c r="H44" s="21" t="str">
        <f aca="false">TEXT(G44,"ddd")</f>
        <v>Sat</v>
      </c>
      <c r="I44" s="24" t="n">
        <v>0.791666666666667</v>
      </c>
      <c r="J44" s="25" t="n">
        <v>5</v>
      </c>
      <c r="K44" s="21" t="s">
        <v>165</v>
      </c>
      <c r="L44" s="26" t="str">
        <f aca="false">INDEX(Themes!$D$5:$D$20,MATCH(C44,Themes!$A$5:$A$20,0))</f>
        <v>P1 Your Skills, Translated</v>
      </c>
      <c r="M44" s="26" t="str">
        <f aca="false">INDEX(Themes!$C$5:$C$20,MATCH(C44,Themes!$A$5:$A$20,0))</f>
        <v>Career Paths</v>
      </c>
    </row>
    <row r="45" customFormat="false" ht="15" hidden="false" customHeight="false" outlineLevel="0" collapsed="false">
      <c r="A45" s="27" t="n">
        <v>41</v>
      </c>
      <c r="B45" s="27" t="n">
        <v>6</v>
      </c>
      <c r="C45" s="27" t="n">
        <v>11</v>
      </c>
      <c r="D45" s="28" t="str">
        <f aca="false">INDEX(Themes!$E$5:$E$20,MATCH(C45,Themes!$A$5:$A$20,0))</f>
        <v>For employers: pre-verified veteran talent</v>
      </c>
      <c r="E45" s="27" t="s">
        <v>11</v>
      </c>
      <c r="F45" s="15" t="s">
        <v>164</v>
      </c>
      <c r="G45" s="29" t="n">
        <f aca="false">Assumptions!$B$4+(B45-1)*7+J45</f>
        <v>46343</v>
      </c>
      <c r="H45" s="27" t="str">
        <f aca="false">TEXT(G45,"ddd")</f>
        <v>Tue</v>
      </c>
      <c r="I45" s="30" t="n">
        <v>0.395833333333333</v>
      </c>
      <c r="J45" s="31" t="n">
        <v>1</v>
      </c>
      <c r="K45" s="27" t="s">
        <v>165</v>
      </c>
      <c r="L45" s="32" t="str">
        <f aca="false">INDEX(Themes!$D$5:$D$20,MATCH(C45,Themes!$A$5:$A$20,0))</f>
        <v>P5 Hire Veterans</v>
      </c>
      <c r="M45" s="32" t="str">
        <f aca="false">INDEX(Themes!$C$5:$C$20,MATCH(C45,Themes!$A$5:$A$20,0))</f>
        <v>Career Paths</v>
      </c>
    </row>
    <row r="46" customFormat="false" ht="15" hidden="false" customHeight="false" outlineLevel="0" collapsed="false">
      <c r="A46" s="27" t="n">
        <v>42</v>
      </c>
      <c r="B46" s="27" t="n">
        <v>6</v>
      </c>
      <c r="C46" s="27" t="n">
        <v>11</v>
      </c>
      <c r="D46" s="28" t="str">
        <f aca="false">INDEX(Themes!$E$5:$E$20,MATCH(C46,Themes!$A$5:$A$20,0))</f>
        <v>For employers: pre-verified veteran talent</v>
      </c>
      <c r="E46" s="27" t="s">
        <v>12</v>
      </c>
      <c r="F46" s="15" t="s">
        <v>166</v>
      </c>
      <c r="G46" s="29" t="n">
        <f aca="false">Assumptions!$B$4+(B46-1)*7+J46</f>
        <v>46343</v>
      </c>
      <c r="H46" s="27" t="str">
        <f aca="false">TEXT(G46,"ddd")</f>
        <v>Tue</v>
      </c>
      <c r="I46" s="30" t="n">
        <v>0.416666666666667</v>
      </c>
      <c r="J46" s="31" t="n">
        <v>1</v>
      </c>
      <c r="K46" s="27" t="s">
        <v>165</v>
      </c>
      <c r="L46" s="32" t="str">
        <f aca="false">INDEX(Themes!$D$5:$D$20,MATCH(C46,Themes!$A$5:$A$20,0))</f>
        <v>P5 Hire Veterans</v>
      </c>
      <c r="M46" s="32" t="str">
        <f aca="false">INDEX(Themes!$C$5:$C$20,MATCH(C46,Themes!$A$5:$A$20,0))</f>
        <v>Career Paths</v>
      </c>
    </row>
    <row r="47" customFormat="false" ht="15" hidden="false" customHeight="false" outlineLevel="0" collapsed="false">
      <c r="A47" s="27" t="n">
        <v>43</v>
      </c>
      <c r="B47" s="27" t="n">
        <v>6</v>
      </c>
      <c r="C47" s="27" t="n">
        <v>11</v>
      </c>
      <c r="D47" s="28" t="str">
        <f aca="false">INDEX(Themes!$E$5:$E$20,MATCH(C47,Themes!$A$5:$A$20,0))</f>
        <v>For employers: pre-verified veteran talent</v>
      </c>
      <c r="E47" s="27" t="s">
        <v>14</v>
      </c>
      <c r="F47" s="15" t="s">
        <v>167</v>
      </c>
      <c r="G47" s="29" t="n">
        <f aca="false">Assumptions!$B$4+(B47-1)*7+J47</f>
        <v>46344</v>
      </c>
      <c r="H47" s="27" t="str">
        <f aca="false">TEXT(G47,"ddd")</f>
        <v>Wed</v>
      </c>
      <c r="I47" s="30" t="n">
        <v>0.791666666666667</v>
      </c>
      <c r="J47" s="31" t="n">
        <v>2</v>
      </c>
      <c r="K47" s="27" t="s">
        <v>165</v>
      </c>
      <c r="L47" s="32" t="str">
        <f aca="false">INDEX(Themes!$D$5:$D$20,MATCH(C47,Themes!$A$5:$A$20,0))</f>
        <v>P5 Hire Veterans</v>
      </c>
      <c r="M47" s="32" t="str">
        <f aca="false">INDEX(Themes!$C$5:$C$20,MATCH(C47,Themes!$A$5:$A$20,0))</f>
        <v>Career Paths</v>
      </c>
    </row>
    <row r="48" customFormat="false" ht="15" hidden="false" customHeight="false" outlineLevel="0" collapsed="false">
      <c r="A48" s="27" t="n">
        <v>44</v>
      </c>
      <c r="B48" s="27" t="n">
        <v>6</v>
      </c>
      <c r="C48" s="27" t="n">
        <v>11</v>
      </c>
      <c r="D48" s="28" t="str">
        <f aca="false">INDEX(Themes!$E$5:$E$20,MATCH(C48,Themes!$A$5:$A$20,0))</f>
        <v>For employers: pre-verified veteran talent</v>
      </c>
      <c r="E48" s="27" t="s">
        <v>13</v>
      </c>
      <c r="F48" s="15" t="s">
        <v>168</v>
      </c>
      <c r="G48" s="29" t="n">
        <f aca="false">Assumptions!$B$4+(B48-1)*7+J48</f>
        <v>46345</v>
      </c>
      <c r="H48" s="27" t="str">
        <f aca="false">TEXT(G48,"ddd")</f>
        <v>Thu</v>
      </c>
      <c r="I48" s="30" t="n">
        <v>0.75</v>
      </c>
      <c r="J48" s="31" t="n">
        <v>3</v>
      </c>
      <c r="K48" s="27" t="s">
        <v>165</v>
      </c>
      <c r="L48" s="32" t="str">
        <f aca="false">INDEX(Themes!$D$5:$D$20,MATCH(C48,Themes!$A$5:$A$20,0))</f>
        <v>P5 Hire Veterans</v>
      </c>
      <c r="M48" s="32" t="str">
        <f aca="false">INDEX(Themes!$C$5:$C$20,MATCH(C48,Themes!$A$5:$A$20,0))</f>
        <v>Career Paths</v>
      </c>
    </row>
    <row r="49" customFormat="false" ht="15" hidden="false" customHeight="false" outlineLevel="0" collapsed="false">
      <c r="A49" s="27" t="n">
        <v>45</v>
      </c>
      <c r="B49" s="27" t="n">
        <v>6</v>
      </c>
      <c r="C49" s="27" t="n">
        <v>12</v>
      </c>
      <c r="D49" s="28" t="str">
        <f aca="false">INDEX(Themes!$E$5:$E$20,MATCH(C49,Themes!$A$5:$A$20,0))</f>
        <v>What a service record tells an employer</v>
      </c>
      <c r="E49" s="27" t="s">
        <v>12</v>
      </c>
      <c r="F49" s="15" t="s">
        <v>166</v>
      </c>
      <c r="G49" s="29" t="n">
        <f aca="false">Assumptions!$B$4+(B49-1)*7+J49</f>
        <v>46346</v>
      </c>
      <c r="H49" s="27" t="str">
        <f aca="false">TEXT(G49,"ddd")</f>
        <v>Fri</v>
      </c>
      <c r="I49" s="30" t="n">
        <v>0.416666666666667</v>
      </c>
      <c r="J49" s="31" t="n">
        <v>4</v>
      </c>
      <c r="K49" s="27" t="s">
        <v>165</v>
      </c>
      <c r="L49" s="32" t="str">
        <f aca="false">INDEX(Themes!$D$5:$D$20,MATCH(C49,Themes!$A$5:$A$20,0))</f>
        <v>P5 Hire Veterans</v>
      </c>
      <c r="M49" s="32" t="str">
        <f aca="false">INDEX(Themes!$C$5:$C$20,MATCH(C49,Themes!$A$5:$A$20,0))</f>
        <v>Career Paths</v>
      </c>
    </row>
    <row r="50" customFormat="false" ht="15" hidden="false" customHeight="false" outlineLevel="0" collapsed="false">
      <c r="A50" s="27" t="n">
        <v>46</v>
      </c>
      <c r="B50" s="27" t="n">
        <v>6</v>
      </c>
      <c r="C50" s="27" t="n">
        <v>12</v>
      </c>
      <c r="D50" s="28" t="str">
        <f aca="false">INDEX(Themes!$E$5:$E$20,MATCH(C50,Themes!$A$5:$A$20,0))</f>
        <v>What a service record tells an employer</v>
      </c>
      <c r="E50" s="27" t="s">
        <v>11</v>
      </c>
      <c r="F50" s="15" t="s">
        <v>164</v>
      </c>
      <c r="G50" s="29" t="n">
        <f aca="false">Assumptions!$B$4+(B50-1)*7+J50</f>
        <v>46346</v>
      </c>
      <c r="H50" s="27" t="str">
        <f aca="false">TEXT(G50,"ddd")</f>
        <v>Fri</v>
      </c>
      <c r="I50" s="30" t="n">
        <v>0.520833333333333</v>
      </c>
      <c r="J50" s="31" t="n">
        <v>4</v>
      </c>
      <c r="K50" s="27" t="s">
        <v>165</v>
      </c>
      <c r="L50" s="32" t="str">
        <f aca="false">INDEX(Themes!$D$5:$D$20,MATCH(C50,Themes!$A$5:$A$20,0))</f>
        <v>P5 Hire Veterans</v>
      </c>
      <c r="M50" s="32" t="str">
        <f aca="false">INDEX(Themes!$C$5:$C$20,MATCH(C50,Themes!$A$5:$A$20,0))</f>
        <v>Career Paths</v>
      </c>
    </row>
    <row r="51" customFormat="false" ht="15" hidden="false" customHeight="false" outlineLevel="0" collapsed="false">
      <c r="A51" s="27" t="n">
        <v>47</v>
      </c>
      <c r="B51" s="27" t="n">
        <v>6</v>
      </c>
      <c r="C51" s="27" t="n">
        <v>12</v>
      </c>
      <c r="D51" s="28" t="str">
        <f aca="false">INDEX(Themes!$E$5:$E$20,MATCH(C51,Themes!$A$5:$A$20,0))</f>
        <v>What a service record tells an employer</v>
      </c>
      <c r="E51" s="27" t="s">
        <v>13</v>
      </c>
      <c r="F51" s="15" t="s">
        <v>168</v>
      </c>
      <c r="G51" s="29" t="n">
        <f aca="false">Assumptions!$B$4+(B51-1)*7+J51</f>
        <v>46347</v>
      </c>
      <c r="H51" s="27" t="str">
        <f aca="false">TEXT(G51,"ddd")</f>
        <v>Sat</v>
      </c>
      <c r="I51" s="30" t="n">
        <v>0.75</v>
      </c>
      <c r="J51" s="31" t="n">
        <v>5</v>
      </c>
      <c r="K51" s="27" t="s">
        <v>165</v>
      </c>
      <c r="L51" s="32" t="str">
        <f aca="false">INDEX(Themes!$D$5:$D$20,MATCH(C51,Themes!$A$5:$A$20,0))</f>
        <v>P5 Hire Veterans</v>
      </c>
      <c r="M51" s="32" t="str">
        <f aca="false">INDEX(Themes!$C$5:$C$20,MATCH(C51,Themes!$A$5:$A$20,0))</f>
        <v>Career Paths</v>
      </c>
    </row>
    <row r="52" customFormat="false" ht="15" hidden="false" customHeight="false" outlineLevel="0" collapsed="false">
      <c r="A52" s="27" t="n">
        <v>48</v>
      </c>
      <c r="B52" s="27" t="n">
        <v>6</v>
      </c>
      <c r="C52" s="27" t="n">
        <v>12</v>
      </c>
      <c r="D52" s="28" t="str">
        <f aca="false">INDEX(Themes!$E$5:$E$20,MATCH(C52,Themes!$A$5:$A$20,0))</f>
        <v>What a service record tells an employer</v>
      </c>
      <c r="E52" s="27" t="s">
        <v>14</v>
      </c>
      <c r="F52" s="15" t="s">
        <v>167</v>
      </c>
      <c r="G52" s="29" t="n">
        <f aca="false">Assumptions!$B$4+(B52-1)*7+J52</f>
        <v>46347</v>
      </c>
      <c r="H52" s="27" t="str">
        <f aca="false">TEXT(G52,"ddd")</f>
        <v>Sat</v>
      </c>
      <c r="I52" s="30" t="n">
        <v>0.791666666666667</v>
      </c>
      <c r="J52" s="31" t="n">
        <v>5</v>
      </c>
      <c r="K52" s="27" t="s">
        <v>165</v>
      </c>
      <c r="L52" s="32" t="str">
        <f aca="false">INDEX(Themes!$D$5:$D$20,MATCH(C52,Themes!$A$5:$A$20,0))</f>
        <v>P5 Hire Veterans</v>
      </c>
      <c r="M52" s="32" t="str">
        <f aca="false">INDEX(Themes!$C$5:$C$20,MATCH(C52,Themes!$A$5:$A$20,0))</f>
        <v>Career Paths</v>
      </c>
    </row>
    <row r="53" customFormat="false" ht="15" hidden="false" customHeight="false" outlineLevel="0" collapsed="false">
      <c r="A53" s="21" t="n">
        <v>49</v>
      </c>
      <c r="B53" s="21" t="n">
        <v>7</v>
      </c>
      <c r="C53" s="21" t="n">
        <v>13</v>
      </c>
      <c r="D53" s="22" t="str">
        <f aca="false">INDEX(Themes!$E$5:$E$20,MATCH(C53,Themes!$A$5:$A$20,0))</f>
        <v>Plan your separation corpus</v>
      </c>
      <c r="E53" s="21" t="s">
        <v>11</v>
      </c>
      <c r="F53" s="13" t="s">
        <v>164</v>
      </c>
      <c r="G53" s="23" t="n">
        <f aca="false">Assumptions!$B$4+(B53-1)*7+J53</f>
        <v>46350</v>
      </c>
      <c r="H53" s="21" t="str">
        <f aca="false">TEXT(G53,"ddd")</f>
        <v>Tue</v>
      </c>
      <c r="I53" s="24" t="n">
        <v>0.395833333333333</v>
      </c>
      <c r="J53" s="25" t="n">
        <v>1</v>
      </c>
      <c r="K53" s="21" t="s">
        <v>165</v>
      </c>
      <c r="L53" s="26" t="str">
        <f aca="false">INDEX(Themes!$D$5:$D$20,MATCH(C53,Themes!$A$5:$A$20,0))</f>
        <v>P6 Secure Your Future</v>
      </c>
      <c r="M53" s="26" t="str">
        <f aca="false">INDEX(Themes!$C$5:$C$20,MATCH(C53,Themes!$A$5:$A$20,0))</f>
        <v>Secure &amp; Support</v>
      </c>
    </row>
    <row r="54" customFormat="false" ht="15" hidden="false" customHeight="false" outlineLevel="0" collapsed="false">
      <c r="A54" s="21" t="n">
        <v>50</v>
      </c>
      <c r="B54" s="21" t="n">
        <v>7</v>
      </c>
      <c r="C54" s="21" t="n">
        <v>13</v>
      </c>
      <c r="D54" s="22" t="str">
        <f aca="false">INDEX(Themes!$E$5:$E$20,MATCH(C54,Themes!$A$5:$A$20,0))</f>
        <v>Plan your separation corpus</v>
      </c>
      <c r="E54" s="21" t="s">
        <v>12</v>
      </c>
      <c r="F54" s="13" t="s">
        <v>166</v>
      </c>
      <c r="G54" s="23" t="n">
        <f aca="false">Assumptions!$B$4+(B54-1)*7+J54</f>
        <v>46350</v>
      </c>
      <c r="H54" s="21" t="str">
        <f aca="false">TEXT(G54,"ddd")</f>
        <v>Tue</v>
      </c>
      <c r="I54" s="24" t="n">
        <v>0.416666666666667</v>
      </c>
      <c r="J54" s="25" t="n">
        <v>1</v>
      </c>
      <c r="K54" s="21" t="s">
        <v>165</v>
      </c>
      <c r="L54" s="26" t="str">
        <f aca="false">INDEX(Themes!$D$5:$D$20,MATCH(C54,Themes!$A$5:$A$20,0))</f>
        <v>P6 Secure Your Future</v>
      </c>
      <c r="M54" s="26" t="str">
        <f aca="false">INDEX(Themes!$C$5:$C$20,MATCH(C54,Themes!$A$5:$A$20,0))</f>
        <v>Secure &amp; Support</v>
      </c>
    </row>
    <row r="55" customFormat="false" ht="15" hidden="false" customHeight="false" outlineLevel="0" collapsed="false">
      <c r="A55" s="21" t="n">
        <v>51</v>
      </c>
      <c r="B55" s="21" t="n">
        <v>7</v>
      </c>
      <c r="C55" s="21" t="n">
        <v>13</v>
      </c>
      <c r="D55" s="22" t="str">
        <f aca="false">INDEX(Themes!$E$5:$E$20,MATCH(C55,Themes!$A$5:$A$20,0))</f>
        <v>Plan your separation corpus</v>
      </c>
      <c r="E55" s="21" t="s">
        <v>14</v>
      </c>
      <c r="F55" s="13" t="s">
        <v>167</v>
      </c>
      <c r="G55" s="23" t="n">
        <f aca="false">Assumptions!$B$4+(B55-1)*7+J55</f>
        <v>46351</v>
      </c>
      <c r="H55" s="21" t="str">
        <f aca="false">TEXT(G55,"ddd")</f>
        <v>Wed</v>
      </c>
      <c r="I55" s="24" t="n">
        <v>0.791666666666667</v>
      </c>
      <c r="J55" s="25" t="n">
        <v>2</v>
      </c>
      <c r="K55" s="21" t="s">
        <v>165</v>
      </c>
      <c r="L55" s="26" t="str">
        <f aca="false">INDEX(Themes!$D$5:$D$20,MATCH(C55,Themes!$A$5:$A$20,0))</f>
        <v>P6 Secure Your Future</v>
      </c>
      <c r="M55" s="26" t="str">
        <f aca="false">INDEX(Themes!$C$5:$C$20,MATCH(C55,Themes!$A$5:$A$20,0))</f>
        <v>Secure &amp; Support</v>
      </c>
    </row>
    <row r="56" customFormat="false" ht="15" hidden="false" customHeight="false" outlineLevel="0" collapsed="false">
      <c r="A56" s="21" t="n">
        <v>52</v>
      </c>
      <c r="B56" s="21" t="n">
        <v>7</v>
      </c>
      <c r="C56" s="21" t="n">
        <v>13</v>
      </c>
      <c r="D56" s="22" t="str">
        <f aca="false">INDEX(Themes!$E$5:$E$20,MATCH(C56,Themes!$A$5:$A$20,0))</f>
        <v>Plan your separation corpus</v>
      </c>
      <c r="E56" s="21" t="s">
        <v>13</v>
      </c>
      <c r="F56" s="13" t="s">
        <v>168</v>
      </c>
      <c r="G56" s="23" t="n">
        <f aca="false">Assumptions!$B$4+(B56-1)*7+J56</f>
        <v>46352</v>
      </c>
      <c r="H56" s="21" t="str">
        <f aca="false">TEXT(G56,"ddd")</f>
        <v>Thu</v>
      </c>
      <c r="I56" s="24" t="n">
        <v>0.75</v>
      </c>
      <c r="J56" s="25" t="n">
        <v>3</v>
      </c>
      <c r="K56" s="21" t="s">
        <v>165</v>
      </c>
      <c r="L56" s="26" t="str">
        <f aca="false">INDEX(Themes!$D$5:$D$20,MATCH(C56,Themes!$A$5:$A$20,0))</f>
        <v>P6 Secure Your Future</v>
      </c>
      <c r="M56" s="26" t="str">
        <f aca="false">INDEX(Themes!$C$5:$C$20,MATCH(C56,Themes!$A$5:$A$20,0))</f>
        <v>Secure &amp; Support</v>
      </c>
    </row>
    <row r="57" customFormat="false" ht="15" hidden="false" customHeight="false" outlineLevel="0" collapsed="false">
      <c r="A57" s="21" t="n">
        <v>53</v>
      </c>
      <c r="B57" s="21" t="n">
        <v>7</v>
      </c>
      <c r="C57" s="21" t="n">
        <v>14</v>
      </c>
      <c r="D57" s="22" t="str">
        <f aca="false">INDEX(Themes!$E$5:$E$20,MATCH(C57,Themes!$A$5:$A$20,0))</f>
        <v>Legal help, organised: the Legal Aid Cell</v>
      </c>
      <c r="E57" s="21" t="s">
        <v>12</v>
      </c>
      <c r="F57" s="13" t="s">
        <v>166</v>
      </c>
      <c r="G57" s="23" t="n">
        <f aca="false">Assumptions!$B$4+(B57-1)*7+J57</f>
        <v>46353</v>
      </c>
      <c r="H57" s="21" t="str">
        <f aca="false">TEXT(G57,"ddd")</f>
        <v>Fri</v>
      </c>
      <c r="I57" s="24" t="n">
        <v>0.416666666666667</v>
      </c>
      <c r="J57" s="25" t="n">
        <v>4</v>
      </c>
      <c r="K57" s="21" t="s">
        <v>165</v>
      </c>
      <c r="L57" s="26" t="str">
        <f aca="false">INDEX(Themes!$D$5:$D$20,MATCH(C57,Themes!$A$5:$A$20,0))</f>
        <v>P7 Stand By You</v>
      </c>
      <c r="M57" s="26" t="str">
        <f aca="false">INDEX(Themes!$C$5:$C$20,MATCH(C57,Themes!$A$5:$A$20,0))</f>
        <v>Secure &amp; Support</v>
      </c>
    </row>
    <row r="58" customFormat="false" ht="15" hidden="false" customHeight="false" outlineLevel="0" collapsed="false">
      <c r="A58" s="21" t="n">
        <v>54</v>
      </c>
      <c r="B58" s="21" t="n">
        <v>7</v>
      </c>
      <c r="C58" s="21" t="n">
        <v>14</v>
      </c>
      <c r="D58" s="22" t="str">
        <f aca="false">INDEX(Themes!$E$5:$E$20,MATCH(C58,Themes!$A$5:$A$20,0))</f>
        <v>Legal help, organised: the Legal Aid Cell</v>
      </c>
      <c r="E58" s="21" t="s">
        <v>11</v>
      </c>
      <c r="F58" s="13" t="s">
        <v>164</v>
      </c>
      <c r="G58" s="23" t="n">
        <f aca="false">Assumptions!$B$4+(B58-1)*7+J58</f>
        <v>46353</v>
      </c>
      <c r="H58" s="21" t="str">
        <f aca="false">TEXT(G58,"ddd")</f>
        <v>Fri</v>
      </c>
      <c r="I58" s="24" t="n">
        <v>0.520833333333333</v>
      </c>
      <c r="J58" s="25" t="n">
        <v>4</v>
      </c>
      <c r="K58" s="21" t="s">
        <v>165</v>
      </c>
      <c r="L58" s="26" t="str">
        <f aca="false">INDEX(Themes!$D$5:$D$20,MATCH(C58,Themes!$A$5:$A$20,0))</f>
        <v>P7 Stand By You</v>
      </c>
      <c r="M58" s="26" t="str">
        <f aca="false">INDEX(Themes!$C$5:$C$20,MATCH(C58,Themes!$A$5:$A$20,0))</f>
        <v>Secure &amp; Support</v>
      </c>
    </row>
    <row r="59" customFormat="false" ht="15" hidden="false" customHeight="false" outlineLevel="0" collapsed="false">
      <c r="A59" s="21" t="n">
        <v>55</v>
      </c>
      <c r="B59" s="21" t="n">
        <v>7</v>
      </c>
      <c r="C59" s="21" t="n">
        <v>14</v>
      </c>
      <c r="D59" s="22" t="str">
        <f aca="false">INDEX(Themes!$E$5:$E$20,MATCH(C59,Themes!$A$5:$A$20,0))</f>
        <v>Legal help, organised: the Legal Aid Cell</v>
      </c>
      <c r="E59" s="21" t="s">
        <v>13</v>
      </c>
      <c r="F59" s="13" t="s">
        <v>168</v>
      </c>
      <c r="G59" s="23" t="n">
        <f aca="false">Assumptions!$B$4+(B59-1)*7+J59</f>
        <v>46354</v>
      </c>
      <c r="H59" s="21" t="str">
        <f aca="false">TEXT(G59,"ddd")</f>
        <v>Sat</v>
      </c>
      <c r="I59" s="24" t="n">
        <v>0.75</v>
      </c>
      <c r="J59" s="25" t="n">
        <v>5</v>
      </c>
      <c r="K59" s="21" t="s">
        <v>165</v>
      </c>
      <c r="L59" s="26" t="str">
        <f aca="false">INDEX(Themes!$D$5:$D$20,MATCH(C59,Themes!$A$5:$A$20,0))</f>
        <v>P7 Stand By You</v>
      </c>
      <c r="M59" s="26" t="str">
        <f aca="false">INDEX(Themes!$C$5:$C$20,MATCH(C59,Themes!$A$5:$A$20,0))</f>
        <v>Secure &amp; Support</v>
      </c>
    </row>
    <row r="60" customFormat="false" ht="15" hidden="false" customHeight="false" outlineLevel="0" collapsed="false">
      <c r="A60" s="21" t="n">
        <v>56</v>
      </c>
      <c r="B60" s="21" t="n">
        <v>7</v>
      </c>
      <c r="C60" s="21" t="n">
        <v>14</v>
      </c>
      <c r="D60" s="22" t="str">
        <f aca="false">INDEX(Themes!$E$5:$E$20,MATCH(C60,Themes!$A$5:$A$20,0))</f>
        <v>Legal help, organised: the Legal Aid Cell</v>
      </c>
      <c r="E60" s="21" t="s">
        <v>14</v>
      </c>
      <c r="F60" s="13" t="s">
        <v>167</v>
      </c>
      <c r="G60" s="23" t="n">
        <f aca="false">Assumptions!$B$4+(B60-1)*7+J60</f>
        <v>46354</v>
      </c>
      <c r="H60" s="21" t="str">
        <f aca="false">TEXT(G60,"ddd")</f>
        <v>Sat</v>
      </c>
      <c r="I60" s="24" t="n">
        <v>0.791666666666667</v>
      </c>
      <c r="J60" s="25" t="n">
        <v>5</v>
      </c>
      <c r="K60" s="21" t="s">
        <v>165</v>
      </c>
      <c r="L60" s="26" t="str">
        <f aca="false">INDEX(Themes!$D$5:$D$20,MATCH(C60,Themes!$A$5:$A$20,0))</f>
        <v>P7 Stand By You</v>
      </c>
      <c r="M60" s="26" t="str">
        <f aca="false">INDEX(Themes!$C$5:$C$20,MATCH(C60,Themes!$A$5:$A$20,0))</f>
        <v>Secure &amp; Support</v>
      </c>
    </row>
    <row r="61" customFormat="false" ht="15" hidden="false" customHeight="false" outlineLevel="0" collapsed="false">
      <c r="A61" s="27" t="n">
        <v>57</v>
      </c>
      <c r="B61" s="27" t="n">
        <v>8</v>
      </c>
      <c r="C61" s="27" t="n">
        <v>15</v>
      </c>
      <c r="D61" s="28" t="str">
        <f aca="false">INDEX(Themes!$E$5:$E$20,MATCH(C61,Themes!$A$5:$A$20,0))</f>
        <v>You are not doing this alone</v>
      </c>
      <c r="E61" s="27" t="s">
        <v>11</v>
      </c>
      <c r="F61" s="15" t="s">
        <v>164</v>
      </c>
      <c r="G61" s="29" t="n">
        <f aca="false">Assumptions!$B$4+(B61-1)*7+J61</f>
        <v>46357</v>
      </c>
      <c r="H61" s="27" t="str">
        <f aca="false">TEXT(G61,"ddd")</f>
        <v>Tue</v>
      </c>
      <c r="I61" s="30" t="n">
        <v>0.395833333333333</v>
      </c>
      <c r="J61" s="31" t="n">
        <v>1</v>
      </c>
      <c r="K61" s="27" t="s">
        <v>165</v>
      </c>
      <c r="L61" s="32" t="str">
        <f aca="false">INDEX(Themes!$D$5:$D$20,MATCH(C61,Themes!$A$5:$A$20,0))</f>
        <v>P8 Stronger Together</v>
      </c>
      <c r="M61" s="32" t="str">
        <f aca="false">INDEX(Themes!$C$5:$C$20,MATCH(C61,Themes!$A$5:$A$20,0))</f>
        <v>Join</v>
      </c>
    </row>
    <row r="62" customFormat="false" ht="15" hidden="false" customHeight="false" outlineLevel="0" collapsed="false">
      <c r="A62" s="27" t="n">
        <v>58</v>
      </c>
      <c r="B62" s="27" t="n">
        <v>8</v>
      </c>
      <c r="C62" s="27" t="n">
        <v>15</v>
      </c>
      <c r="D62" s="28" t="str">
        <f aca="false">INDEX(Themes!$E$5:$E$20,MATCH(C62,Themes!$A$5:$A$20,0))</f>
        <v>You are not doing this alone</v>
      </c>
      <c r="E62" s="27" t="s">
        <v>12</v>
      </c>
      <c r="F62" s="15" t="s">
        <v>166</v>
      </c>
      <c r="G62" s="29" t="n">
        <f aca="false">Assumptions!$B$4+(B62-1)*7+J62</f>
        <v>46357</v>
      </c>
      <c r="H62" s="27" t="str">
        <f aca="false">TEXT(G62,"ddd")</f>
        <v>Tue</v>
      </c>
      <c r="I62" s="30" t="n">
        <v>0.416666666666667</v>
      </c>
      <c r="J62" s="31" t="n">
        <v>1</v>
      </c>
      <c r="K62" s="27" t="s">
        <v>165</v>
      </c>
      <c r="L62" s="32" t="str">
        <f aca="false">INDEX(Themes!$D$5:$D$20,MATCH(C62,Themes!$A$5:$A$20,0))</f>
        <v>P8 Stronger Together</v>
      </c>
      <c r="M62" s="32" t="str">
        <f aca="false">INDEX(Themes!$C$5:$C$20,MATCH(C62,Themes!$A$5:$A$20,0))</f>
        <v>Join</v>
      </c>
    </row>
    <row r="63" customFormat="false" ht="15" hidden="false" customHeight="false" outlineLevel="0" collapsed="false">
      <c r="A63" s="27" t="n">
        <v>59</v>
      </c>
      <c r="B63" s="27" t="n">
        <v>8</v>
      </c>
      <c r="C63" s="27" t="n">
        <v>15</v>
      </c>
      <c r="D63" s="28" t="str">
        <f aca="false">INDEX(Themes!$E$5:$E$20,MATCH(C63,Themes!$A$5:$A$20,0))</f>
        <v>You are not doing this alone</v>
      </c>
      <c r="E63" s="27" t="s">
        <v>14</v>
      </c>
      <c r="F63" s="15" t="s">
        <v>167</v>
      </c>
      <c r="G63" s="29" t="n">
        <f aca="false">Assumptions!$B$4+(B63-1)*7+J63</f>
        <v>46358</v>
      </c>
      <c r="H63" s="27" t="str">
        <f aca="false">TEXT(G63,"ddd")</f>
        <v>Wed</v>
      </c>
      <c r="I63" s="30" t="n">
        <v>0.791666666666667</v>
      </c>
      <c r="J63" s="31" t="n">
        <v>2</v>
      </c>
      <c r="K63" s="27" t="s">
        <v>165</v>
      </c>
      <c r="L63" s="32" t="str">
        <f aca="false">INDEX(Themes!$D$5:$D$20,MATCH(C63,Themes!$A$5:$A$20,0))</f>
        <v>P8 Stronger Together</v>
      </c>
      <c r="M63" s="32" t="str">
        <f aca="false">INDEX(Themes!$C$5:$C$20,MATCH(C63,Themes!$A$5:$A$20,0))</f>
        <v>Join</v>
      </c>
    </row>
    <row r="64" customFormat="false" ht="15" hidden="false" customHeight="false" outlineLevel="0" collapsed="false">
      <c r="A64" s="27" t="n">
        <v>60</v>
      </c>
      <c r="B64" s="27" t="n">
        <v>8</v>
      </c>
      <c r="C64" s="27" t="n">
        <v>15</v>
      </c>
      <c r="D64" s="28" t="str">
        <f aca="false">INDEX(Themes!$E$5:$E$20,MATCH(C64,Themes!$A$5:$A$20,0))</f>
        <v>You are not doing this alone</v>
      </c>
      <c r="E64" s="27" t="s">
        <v>13</v>
      </c>
      <c r="F64" s="15" t="s">
        <v>168</v>
      </c>
      <c r="G64" s="29" t="n">
        <f aca="false">Assumptions!$B$4+(B64-1)*7+J64</f>
        <v>46359</v>
      </c>
      <c r="H64" s="27" t="str">
        <f aca="false">TEXT(G64,"ddd")</f>
        <v>Thu</v>
      </c>
      <c r="I64" s="30" t="n">
        <v>0.75</v>
      </c>
      <c r="J64" s="31" t="n">
        <v>3</v>
      </c>
      <c r="K64" s="27" t="s">
        <v>165</v>
      </c>
      <c r="L64" s="32" t="str">
        <f aca="false">INDEX(Themes!$D$5:$D$20,MATCH(C64,Themes!$A$5:$A$20,0))</f>
        <v>P8 Stronger Together</v>
      </c>
      <c r="M64" s="32" t="str">
        <f aca="false">INDEX(Themes!$C$5:$C$20,MATCH(C64,Themes!$A$5:$A$20,0))</f>
        <v>Join</v>
      </c>
    </row>
    <row r="65" customFormat="false" ht="15" hidden="false" customHeight="false" outlineLevel="0" collapsed="false">
      <c r="A65" s="27" t="n">
        <v>61</v>
      </c>
      <c r="B65" s="27" t="n">
        <v>8</v>
      </c>
      <c r="C65" s="27" t="n">
        <v>16</v>
      </c>
      <c r="D65" s="28" t="str">
        <f aca="false">INDEX(Themes!$E$5:$E$20,MATCH(C65,Themes!$A$5:$A$20,0))</f>
        <v>Start your second mission</v>
      </c>
      <c r="E65" s="27" t="s">
        <v>12</v>
      </c>
      <c r="F65" s="15" t="s">
        <v>166</v>
      </c>
      <c r="G65" s="29" t="n">
        <f aca="false">Assumptions!$B$4+(B65-1)*7+J65</f>
        <v>46360</v>
      </c>
      <c r="H65" s="27" t="str">
        <f aca="false">TEXT(G65,"ddd")</f>
        <v>Fri</v>
      </c>
      <c r="I65" s="30" t="n">
        <v>0.416666666666667</v>
      </c>
      <c r="J65" s="31" t="n">
        <v>4</v>
      </c>
      <c r="K65" s="27" t="s">
        <v>165</v>
      </c>
      <c r="L65" s="32" t="str">
        <f aca="false">INDEX(Themes!$D$5:$D$20,MATCH(C65,Themes!$A$5:$A$20,0))</f>
        <v>P0 The Second Mission</v>
      </c>
      <c r="M65" s="32" t="str">
        <f aca="false">INDEX(Themes!$C$5:$C$20,MATCH(C65,Themes!$A$5:$A$20,0))</f>
        <v>Join</v>
      </c>
    </row>
    <row r="66" customFormat="false" ht="15" hidden="false" customHeight="false" outlineLevel="0" collapsed="false">
      <c r="A66" s="27" t="n">
        <v>62</v>
      </c>
      <c r="B66" s="27" t="n">
        <v>8</v>
      </c>
      <c r="C66" s="27" t="n">
        <v>16</v>
      </c>
      <c r="D66" s="28" t="str">
        <f aca="false">INDEX(Themes!$E$5:$E$20,MATCH(C66,Themes!$A$5:$A$20,0))</f>
        <v>Start your second mission</v>
      </c>
      <c r="E66" s="27" t="s">
        <v>11</v>
      </c>
      <c r="F66" s="15" t="s">
        <v>164</v>
      </c>
      <c r="G66" s="29" t="n">
        <f aca="false">Assumptions!$B$4+(B66-1)*7+J66</f>
        <v>46360</v>
      </c>
      <c r="H66" s="27" t="str">
        <f aca="false">TEXT(G66,"ddd")</f>
        <v>Fri</v>
      </c>
      <c r="I66" s="30" t="n">
        <v>0.520833333333333</v>
      </c>
      <c r="J66" s="31" t="n">
        <v>4</v>
      </c>
      <c r="K66" s="27" t="s">
        <v>165</v>
      </c>
      <c r="L66" s="32" t="str">
        <f aca="false">INDEX(Themes!$D$5:$D$20,MATCH(C66,Themes!$A$5:$A$20,0))</f>
        <v>P0 The Second Mission</v>
      </c>
      <c r="M66" s="32" t="str">
        <f aca="false">INDEX(Themes!$C$5:$C$20,MATCH(C66,Themes!$A$5:$A$20,0))</f>
        <v>Join</v>
      </c>
    </row>
    <row r="67" customFormat="false" ht="15" hidden="false" customHeight="false" outlineLevel="0" collapsed="false">
      <c r="A67" s="27" t="n">
        <v>63</v>
      </c>
      <c r="B67" s="27" t="n">
        <v>8</v>
      </c>
      <c r="C67" s="27" t="n">
        <v>16</v>
      </c>
      <c r="D67" s="28" t="str">
        <f aca="false">INDEX(Themes!$E$5:$E$20,MATCH(C67,Themes!$A$5:$A$20,0))</f>
        <v>Start your second mission</v>
      </c>
      <c r="E67" s="27" t="s">
        <v>13</v>
      </c>
      <c r="F67" s="15" t="s">
        <v>168</v>
      </c>
      <c r="G67" s="29" t="n">
        <f aca="false">Assumptions!$B$4+(B67-1)*7+J67</f>
        <v>46361</v>
      </c>
      <c r="H67" s="27" t="str">
        <f aca="false">TEXT(G67,"ddd")</f>
        <v>Sat</v>
      </c>
      <c r="I67" s="30" t="n">
        <v>0.75</v>
      </c>
      <c r="J67" s="31" t="n">
        <v>5</v>
      </c>
      <c r="K67" s="27" t="s">
        <v>165</v>
      </c>
      <c r="L67" s="32" t="str">
        <f aca="false">INDEX(Themes!$D$5:$D$20,MATCH(C67,Themes!$A$5:$A$20,0))</f>
        <v>P0 The Second Mission</v>
      </c>
      <c r="M67" s="32" t="str">
        <f aca="false">INDEX(Themes!$C$5:$C$20,MATCH(C67,Themes!$A$5:$A$20,0))</f>
        <v>Join</v>
      </c>
    </row>
    <row r="68" customFormat="false" ht="15" hidden="false" customHeight="false" outlineLevel="0" collapsed="false">
      <c r="A68" s="27" t="n">
        <v>64</v>
      </c>
      <c r="B68" s="27" t="n">
        <v>8</v>
      </c>
      <c r="C68" s="27" t="n">
        <v>16</v>
      </c>
      <c r="D68" s="28" t="str">
        <f aca="false">INDEX(Themes!$E$5:$E$20,MATCH(C68,Themes!$A$5:$A$20,0))</f>
        <v>Start your second mission</v>
      </c>
      <c r="E68" s="27" t="s">
        <v>14</v>
      </c>
      <c r="F68" s="15" t="s">
        <v>167</v>
      </c>
      <c r="G68" s="29" t="n">
        <f aca="false">Assumptions!$B$4+(B68-1)*7+J68</f>
        <v>46361</v>
      </c>
      <c r="H68" s="27" t="str">
        <f aca="false">TEXT(G68,"ddd")</f>
        <v>Sat</v>
      </c>
      <c r="I68" s="30" t="n">
        <v>0.791666666666667</v>
      </c>
      <c r="J68" s="31" t="n">
        <v>5</v>
      </c>
      <c r="K68" s="27" t="s">
        <v>165</v>
      </c>
      <c r="L68" s="32" t="str">
        <f aca="false">INDEX(Themes!$D$5:$D$20,MATCH(C68,Themes!$A$5:$A$20,0))</f>
        <v>P0 The Second Mission</v>
      </c>
      <c r="M68" s="32" t="str">
        <f aca="false">INDEX(Themes!$C$5:$C$20,MATCH(C68,Themes!$A$5:$A$20,0))</f>
        <v>Join</v>
      </c>
    </row>
  </sheetData>
  <autoFilter ref="A4:M68"/>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9" min="2" style="0" width="8"/>
    <col collapsed="false" customWidth="true" hidden="false" outlineLevel="0" max="10" min="10" style="0" width="9"/>
    <col collapsed="false" customWidth="true" hidden="false" outlineLevel="0" max="11" min="11" style="0" width="10"/>
  </cols>
  <sheetData>
    <row r="1" customFormat="false" ht="19.7" hidden="false" customHeight="false" outlineLevel="0" collapsed="false">
      <c r="A1" s="1" t="s">
        <v>169</v>
      </c>
    </row>
    <row r="2" customFormat="false" ht="15" hidden="false" customHeight="false" outlineLevel="0" collapsed="false">
      <c r="A2" s="2" t="s">
        <v>170</v>
      </c>
    </row>
    <row r="4" customFormat="false" ht="15" hidden="false" customHeight="false" outlineLevel="0" collapsed="false">
      <c r="A4" s="10" t="s">
        <v>157</v>
      </c>
      <c r="B4" s="10" t="s">
        <v>171</v>
      </c>
      <c r="C4" s="10" t="s">
        <v>172</v>
      </c>
      <c r="D4" s="10" t="s">
        <v>173</v>
      </c>
      <c r="E4" s="10" t="s">
        <v>174</v>
      </c>
      <c r="F4" s="10" t="s">
        <v>175</v>
      </c>
      <c r="G4" s="10" t="s">
        <v>176</v>
      </c>
      <c r="H4" s="10" t="s">
        <v>177</v>
      </c>
      <c r="I4" s="10" t="s">
        <v>178</v>
      </c>
      <c r="J4" s="10" t="s">
        <v>151</v>
      </c>
      <c r="K4" s="10" t="s">
        <v>179</v>
      </c>
    </row>
    <row r="5" customFormat="false" ht="15" hidden="false" customHeight="false" outlineLevel="0" collapsed="false">
      <c r="A5" s="33" t="s">
        <v>11</v>
      </c>
      <c r="B5" s="34" t="n">
        <f aca="false">COUNTIFS(Schedule!$E$5:$E$68,$A5,Schedule!$B$5:$B$68,1)</f>
        <v>2</v>
      </c>
      <c r="C5" s="34" t="n">
        <f aca="false">COUNTIFS(Schedule!$E$5:$E$68,$A5,Schedule!$B$5:$B$68,2)</f>
        <v>2</v>
      </c>
      <c r="D5" s="34" t="n">
        <f aca="false">COUNTIFS(Schedule!$E$5:$E$68,$A5,Schedule!$B$5:$B$68,3)</f>
        <v>2</v>
      </c>
      <c r="E5" s="34" t="n">
        <f aca="false">COUNTIFS(Schedule!$E$5:$E$68,$A5,Schedule!$B$5:$B$68,4)</f>
        <v>2</v>
      </c>
      <c r="F5" s="34" t="n">
        <f aca="false">COUNTIFS(Schedule!$E$5:$E$68,$A5,Schedule!$B$5:$B$68,5)</f>
        <v>2</v>
      </c>
      <c r="G5" s="34" t="n">
        <f aca="false">COUNTIFS(Schedule!$E$5:$E$68,$A5,Schedule!$B$5:$B$68,6)</f>
        <v>2</v>
      </c>
      <c r="H5" s="34" t="n">
        <f aca="false">COUNTIFS(Schedule!$E$5:$E$68,$A5,Schedule!$B$5:$B$68,7)</f>
        <v>2</v>
      </c>
      <c r="I5" s="34" t="n">
        <f aca="false">COUNTIFS(Schedule!$E$5:$E$68,$A5,Schedule!$B$5:$B$68,8)</f>
        <v>2</v>
      </c>
      <c r="J5" s="33" t="n">
        <f aca="false">SUM(B5:I5)</f>
        <v>16</v>
      </c>
      <c r="K5" s="35" t="n">
        <f aca="false">J5/MAX(Schedule!$B$5:$B$68)</f>
        <v>2</v>
      </c>
    </row>
    <row r="6" customFormat="false" ht="15" hidden="false" customHeight="false" outlineLevel="0" collapsed="false">
      <c r="A6" s="33" t="s">
        <v>12</v>
      </c>
      <c r="B6" s="34" t="n">
        <f aca="false">COUNTIFS(Schedule!$E$5:$E$68,$A6,Schedule!$B$5:$B$68,1)</f>
        <v>2</v>
      </c>
      <c r="C6" s="34" t="n">
        <f aca="false">COUNTIFS(Schedule!$E$5:$E$68,$A6,Schedule!$B$5:$B$68,2)</f>
        <v>2</v>
      </c>
      <c r="D6" s="34" t="n">
        <f aca="false">COUNTIFS(Schedule!$E$5:$E$68,$A6,Schedule!$B$5:$B$68,3)</f>
        <v>2</v>
      </c>
      <c r="E6" s="34" t="n">
        <f aca="false">COUNTIFS(Schedule!$E$5:$E$68,$A6,Schedule!$B$5:$B$68,4)</f>
        <v>2</v>
      </c>
      <c r="F6" s="34" t="n">
        <f aca="false">COUNTIFS(Schedule!$E$5:$E$68,$A6,Schedule!$B$5:$B$68,5)</f>
        <v>2</v>
      </c>
      <c r="G6" s="34" t="n">
        <f aca="false">COUNTIFS(Schedule!$E$5:$E$68,$A6,Schedule!$B$5:$B$68,6)</f>
        <v>2</v>
      </c>
      <c r="H6" s="34" t="n">
        <f aca="false">COUNTIFS(Schedule!$E$5:$E$68,$A6,Schedule!$B$5:$B$68,7)</f>
        <v>2</v>
      </c>
      <c r="I6" s="34" t="n">
        <f aca="false">COUNTIFS(Schedule!$E$5:$E$68,$A6,Schedule!$B$5:$B$68,8)</f>
        <v>2</v>
      </c>
      <c r="J6" s="33" t="n">
        <f aca="false">SUM(B6:I6)</f>
        <v>16</v>
      </c>
      <c r="K6" s="35" t="n">
        <f aca="false">J6/MAX(Schedule!$B$5:$B$68)</f>
        <v>2</v>
      </c>
    </row>
    <row r="7" customFormat="false" ht="15" hidden="false" customHeight="false" outlineLevel="0" collapsed="false">
      <c r="A7" s="33" t="s">
        <v>13</v>
      </c>
      <c r="B7" s="34" t="n">
        <f aca="false">COUNTIFS(Schedule!$E$5:$E$68,$A7,Schedule!$B$5:$B$68,1)</f>
        <v>2</v>
      </c>
      <c r="C7" s="34" t="n">
        <f aca="false">COUNTIFS(Schedule!$E$5:$E$68,$A7,Schedule!$B$5:$B$68,2)</f>
        <v>2</v>
      </c>
      <c r="D7" s="34" t="n">
        <f aca="false">COUNTIFS(Schedule!$E$5:$E$68,$A7,Schedule!$B$5:$B$68,3)</f>
        <v>2</v>
      </c>
      <c r="E7" s="34" t="n">
        <f aca="false">COUNTIFS(Schedule!$E$5:$E$68,$A7,Schedule!$B$5:$B$68,4)</f>
        <v>2</v>
      </c>
      <c r="F7" s="34" t="n">
        <f aca="false">COUNTIFS(Schedule!$E$5:$E$68,$A7,Schedule!$B$5:$B$68,5)</f>
        <v>2</v>
      </c>
      <c r="G7" s="34" t="n">
        <f aca="false">COUNTIFS(Schedule!$E$5:$E$68,$A7,Schedule!$B$5:$B$68,6)</f>
        <v>2</v>
      </c>
      <c r="H7" s="34" t="n">
        <f aca="false">COUNTIFS(Schedule!$E$5:$E$68,$A7,Schedule!$B$5:$B$68,7)</f>
        <v>2</v>
      </c>
      <c r="I7" s="34" t="n">
        <f aca="false">COUNTIFS(Schedule!$E$5:$E$68,$A7,Schedule!$B$5:$B$68,8)</f>
        <v>2</v>
      </c>
      <c r="J7" s="33" t="n">
        <f aca="false">SUM(B7:I7)</f>
        <v>16</v>
      </c>
      <c r="K7" s="35" t="n">
        <f aca="false">J7/MAX(Schedule!$B$5:$B$68)</f>
        <v>2</v>
      </c>
    </row>
    <row r="8" customFormat="false" ht="15" hidden="false" customHeight="false" outlineLevel="0" collapsed="false">
      <c r="A8" s="33" t="s">
        <v>14</v>
      </c>
      <c r="B8" s="34" t="n">
        <f aca="false">COUNTIFS(Schedule!$E$5:$E$68,$A8,Schedule!$B$5:$B$68,1)</f>
        <v>2</v>
      </c>
      <c r="C8" s="34" t="n">
        <f aca="false">COUNTIFS(Schedule!$E$5:$E$68,$A8,Schedule!$B$5:$B$68,2)</f>
        <v>2</v>
      </c>
      <c r="D8" s="34" t="n">
        <f aca="false">COUNTIFS(Schedule!$E$5:$E$68,$A8,Schedule!$B$5:$B$68,3)</f>
        <v>2</v>
      </c>
      <c r="E8" s="34" t="n">
        <f aca="false">COUNTIFS(Schedule!$E$5:$E$68,$A8,Schedule!$B$5:$B$68,4)</f>
        <v>2</v>
      </c>
      <c r="F8" s="34" t="n">
        <f aca="false">COUNTIFS(Schedule!$E$5:$E$68,$A8,Schedule!$B$5:$B$68,5)</f>
        <v>2</v>
      </c>
      <c r="G8" s="34" t="n">
        <f aca="false">COUNTIFS(Schedule!$E$5:$E$68,$A8,Schedule!$B$5:$B$68,6)</f>
        <v>2</v>
      </c>
      <c r="H8" s="34" t="n">
        <f aca="false">COUNTIFS(Schedule!$E$5:$E$68,$A8,Schedule!$B$5:$B$68,7)</f>
        <v>2</v>
      </c>
      <c r="I8" s="34" t="n">
        <f aca="false">COUNTIFS(Schedule!$E$5:$E$68,$A8,Schedule!$B$5:$B$68,8)</f>
        <v>2</v>
      </c>
      <c r="J8" s="33" t="n">
        <f aca="false">SUM(B8:I8)</f>
        <v>16</v>
      </c>
      <c r="K8" s="35" t="n">
        <f aca="false">J8/MAX(Schedule!$B$5:$B$68)</f>
        <v>2</v>
      </c>
    </row>
    <row r="9" customFormat="false" ht="15" hidden="false" customHeight="false" outlineLevel="0" collapsed="false">
      <c r="A9" s="19" t="s">
        <v>180</v>
      </c>
      <c r="B9" s="36" t="n">
        <f aca="false">SUM(B5:B8)</f>
        <v>8</v>
      </c>
      <c r="C9" s="36" t="n">
        <f aca="false">SUM(C5:C8)</f>
        <v>8</v>
      </c>
      <c r="D9" s="36" t="n">
        <f aca="false">SUM(D5:D8)</f>
        <v>8</v>
      </c>
      <c r="E9" s="36" t="n">
        <f aca="false">SUM(E5:E8)</f>
        <v>8</v>
      </c>
      <c r="F9" s="36" t="n">
        <f aca="false">SUM(F5:F8)</f>
        <v>8</v>
      </c>
      <c r="G9" s="36" t="n">
        <f aca="false">SUM(G5:G8)</f>
        <v>8</v>
      </c>
      <c r="H9" s="36" t="n">
        <f aca="false">SUM(H5:H8)</f>
        <v>8</v>
      </c>
      <c r="I9" s="36" t="n">
        <f aca="false">SUM(I5:I8)</f>
        <v>8</v>
      </c>
      <c r="J9" s="36" t="n">
        <f aca="false">SUM(J5:J8)</f>
        <v>64</v>
      </c>
      <c r="K9" s="37" t="n">
        <f aca="false">J9/MAX(Schedule!$B$5:$B$68)</f>
        <v>8</v>
      </c>
    </row>
    <row r="11" customFormat="false" ht="15" hidden="false" customHeight="false" outlineLevel="0" collapsed="false">
      <c r="A11" s="3" t="s">
        <v>181</v>
      </c>
    </row>
    <row r="12" customFormat="false" ht="15" hidden="false" customHeight="false" outlineLevel="0" collapsed="false">
      <c r="A12" s="4" t="s">
        <v>182</v>
      </c>
      <c r="B12" s="3" t="n">
        <f aca="false">4*7*MAX(Schedule!$B$5:$B$68)</f>
        <v>224</v>
      </c>
    </row>
    <row r="13" customFormat="false" ht="15" hidden="false" customHeight="false" outlineLevel="0" collapsed="false">
      <c r="A13" s="4" t="s">
        <v>183</v>
      </c>
      <c r="B13" s="3" t="n">
        <f aca="false">J9</f>
        <v>64</v>
      </c>
    </row>
    <row r="14" customFormat="false" ht="15" hidden="false" customHeight="false" outlineLevel="0" collapsed="false">
      <c r="A14" s="4" t="s">
        <v>184</v>
      </c>
      <c r="B14" s="38" t="n">
        <f aca="false">1-B13/B12</f>
        <v>0.714285714285714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3" min="3" style="0" width="16"/>
    <col collapsed="false" customWidth="true" hidden="false" outlineLevel="0" max="4" min="4" style="0" width="14"/>
    <col collapsed="false" customWidth="true" hidden="false" outlineLevel="0" max="7" min="5" style="0" width="16"/>
  </cols>
  <sheetData>
    <row r="1" customFormat="false" ht="19.7" hidden="false" customHeight="false" outlineLevel="0" collapsed="false">
      <c r="A1" s="1" t="s">
        <v>185</v>
      </c>
    </row>
    <row r="2" customFormat="false" ht="15" hidden="false" customHeight="false" outlineLevel="0" collapsed="false">
      <c r="A2" s="2" t="s">
        <v>186</v>
      </c>
    </row>
    <row r="4" customFormat="false" ht="15" hidden="false" customHeight="false" outlineLevel="0" collapsed="false">
      <c r="A4" s="10" t="s">
        <v>187</v>
      </c>
      <c r="B4" s="10" t="s">
        <v>188</v>
      </c>
      <c r="C4" s="10" t="s">
        <v>189</v>
      </c>
      <c r="D4" s="10" t="s">
        <v>190</v>
      </c>
      <c r="E4" s="10" t="s">
        <v>191</v>
      </c>
      <c r="F4" s="10" t="s">
        <v>192</v>
      </c>
      <c r="G4" s="10" t="s">
        <v>193</v>
      </c>
    </row>
    <row r="5" customFormat="false" ht="15" hidden="false" customHeight="false" outlineLevel="0" collapsed="false">
      <c r="A5" s="0" t="s">
        <v>194</v>
      </c>
      <c r="B5" s="39" t="n">
        <f aca="false">MAX(Schedule!$C$5:$C$68)</f>
        <v>16</v>
      </c>
      <c r="C5" s="39" t="n">
        <f aca="false">MAX(Schedule!$C$5:$C$68)</f>
        <v>16</v>
      </c>
      <c r="D5" s="39" t="n">
        <f aca="false">MAX(Schedule!$C$5:$C$68)</f>
        <v>16</v>
      </c>
    </row>
    <row r="6" customFormat="false" ht="15" hidden="false" customHeight="false" outlineLevel="0" collapsed="false">
      <c r="A6" s="0" t="s">
        <v>195</v>
      </c>
      <c r="B6" s="39" t="n">
        <f aca="false">COUNTA(Schedule!$E$5:$E$68)</f>
        <v>64</v>
      </c>
      <c r="C6" s="39" t="n">
        <f aca="false">COUNTA(Schedule!$E$5:$E$68)</f>
        <v>64</v>
      </c>
      <c r="D6" s="39" t="n">
        <f aca="false">COUNTA(Schedule!$E$5:$E$68)</f>
        <v>64</v>
      </c>
    </row>
    <row r="8" customFormat="false" ht="15" hidden="false" customHeight="false" outlineLevel="0" collapsed="false">
      <c r="A8" s="4" t="s">
        <v>196</v>
      </c>
      <c r="B8" s="40" t="n">
        <f aca="false">B$5*Assumptions!B$11</f>
        <v>0.192</v>
      </c>
      <c r="C8" s="40" t="n">
        <f aca="false">C$5*Assumptions!C$11</f>
        <v>0.24</v>
      </c>
      <c r="D8" s="40" t="n">
        <f aca="false">D$5*Assumptions!D$11</f>
        <v>0.32</v>
      </c>
      <c r="E8" s="41" t="n">
        <f aca="false">B8*Assumptions!$B$5</f>
        <v>18.528</v>
      </c>
      <c r="F8" s="41" t="n">
        <f aca="false">C8*Assumptions!$B$5</f>
        <v>23.16</v>
      </c>
      <c r="G8" s="41" t="n">
        <f aca="false">D8*Assumptions!$B$5</f>
        <v>30.88</v>
      </c>
    </row>
    <row r="9" customFormat="false" ht="15" hidden="false" customHeight="false" outlineLevel="0" collapsed="false">
      <c r="A9" s="4" t="s">
        <v>197</v>
      </c>
      <c r="B9" s="40" t="n">
        <f aca="false">B$5*Assumptions!B$12</f>
        <v>0.208</v>
      </c>
      <c r="C9" s="40" t="n">
        <f aca="false">C$5*Assumptions!C$12</f>
        <v>0.28</v>
      </c>
      <c r="D9" s="40" t="n">
        <f aca="false">D$5*Assumptions!D$12</f>
        <v>0.48</v>
      </c>
      <c r="E9" s="41" t="n">
        <f aca="false">B9*Assumptions!$B$5</f>
        <v>20.072</v>
      </c>
      <c r="F9" s="41" t="n">
        <f aca="false">C9*Assumptions!$B$5</f>
        <v>27.02</v>
      </c>
      <c r="G9" s="41" t="n">
        <f aca="false">D9*Assumptions!$B$5</f>
        <v>46.32</v>
      </c>
    </row>
    <row r="10" customFormat="false" ht="15" hidden="false" customHeight="false" outlineLevel="0" collapsed="false">
      <c r="A10" s="4" t="s">
        <v>198</v>
      </c>
      <c r="B10" s="40" t="n">
        <f aca="false">B$5*Assumptions!B$13*Assumptions!B$14</f>
        <v>0.064</v>
      </c>
      <c r="C10" s="40" t="n">
        <f aca="false">C$5*Assumptions!C$13*Assumptions!C$14</f>
        <v>0.16</v>
      </c>
      <c r="D10" s="40" t="n">
        <f aca="false">D$5*Assumptions!D$13*Assumptions!D$14</f>
        <v>0.512</v>
      </c>
      <c r="E10" s="41" t="n">
        <f aca="false">B10*Assumptions!$B$5</f>
        <v>6.176</v>
      </c>
      <c r="F10" s="41" t="n">
        <f aca="false">C10*Assumptions!$B$5</f>
        <v>15.44</v>
      </c>
      <c r="G10" s="41" t="n">
        <f aca="false">D10*Assumptions!$B$5</f>
        <v>49.408</v>
      </c>
    </row>
    <row r="11" customFormat="false" ht="15" hidden="false" customHeight="false" outlineLevel="0" collapsed="false">
      <c r="A11" s="4" t="s">
        <v>199</v>
      </c>
      <c r="B11" s="40" t="n">
        <f aca="false">B$5*Assumptions!B$15*(Assumptions!B$11+Assumptions!B$12)</f>
        <v>0.04</v>
      </c>
      <c r="C11" s="40" t="n">
        <f aca="false">C$5*Assumptions!C$15*(Assumptions!C$11+Assumptions!C$12)</f>
        <v>0.13</v>
      </c>
      <c r="D11" s="40" t="n">
        <f aca="false">D$5*Assumptions!D$15*(Assumptions!D$11+Assumptions!D$12)</f>
        <v>0.4</v>
      </c>
      <c r="E11" s="41" t="n">
        <f aca="false">B11*Assumptions!$B$5</f>
        <v>3.86</v>
      </c>
      <c r="F11" s="41" t="n">
        <f aca="false">C11*Assumptions!$B$5</f>
        <v>12.545</v>
      </c>
      <c r="G11" s="41" t="n">
        <f aca="false">D11*Assumptions!$B$5</f>
        <v>38.6</v>
      </c>
    </row>
    <row r="12" customFormat="false" ht="15" hidden="false" customHeight="false" outlineLevel="0" collapsed="false">
      <c r="A12" s="42" t="s">
        <v>200</v>
      </c>
      <c r="B12" s="43" t="n">
        <f aca="false">SUM(B8:B11)</f>
        <v>0.504</v>
      </c>
      <c r="C12" s="43" t="n">
        <f aca="false">SUM(C8:C11)</f>
        <v>0.81</v>
      </c>
      <c r="D12" s="43" t="n">
        <f aca="false">SUM(D8:D11)</f>
        <v>1.712</v>
      </c>
      <c r="E12" s="44" t="n">
        <f aca="false">B12*Assumptions!$B$5</f>
        <v>48.636</v>
      </c>
      <c r="F12" s="44" t="n">
        <f aca="false">C12*Assumptions!$B$5</f>
        <v>78.165</v>
      </c>
      <c r="G12" s="44" t="n">
        <f aca="false">D12*Assumptions!$B$5</f>
        <v>165.208</v>
      </c>
    </row>
    <row r="13" customFormat="false" ht="15" hidden="false" customHeight="false" outlineLevel="0" collapsed="false">
      <c r="A13" s="4" t="s">
        <v>201</v>
      </c>
      <c r="B13" s="40" t="n">
        <f aca="false">E13/Assumptions!$B$5</f>
        <v>0</v>
      </c>
      <c r="C13" s="40" t="n">
        <f aca="false">F13/Assumptions!$B$5</f>
        <v>0</v>
      </c>
      <c r="D13" s="40" t="n">
        <f aca="false">G13/Assumptions!$B$5</f>
        <v>0</v>
      </c>
      <c r="E13" s="41" t="n">
        <f aca="false">Assumptions!$B$6*Assumptions!$B$7</f>
        <v>0</v>
      </c>
      <c r="F13" s="41" t="n">
        <f aca="false">Assumptions!$B$6*Assumptions!$B$7</f>
        <v>0</v>
      </c>
      <c r="G13" s="41" t="n">
        <f aca="false">Assumptions!$B$6*Assumptions!$B$7</f>
        <v>0</v>
      </c>
    </row>
    <row r="14" customFormat="false" ht="15" hidden="false" customHeight="false" outlineLevel="0" collapsed="false">
      <c r="A14" s="45" t="s">
        <v>202</v>
      </c>
      <c r="B14" s="46" t="n">
        <f aca="false">B12+B13</f>
        <v>0.504</v>
      </c>
      <c r="C14" s="46" t="n">
        <f aca="false">C12+C13</f>
        <v>0.81</v>
      </c>
      <c r="D14" s="46" t="n">
        <f aca="false">D12+D13</f>
        <v>1.712</v>
      </c>
      <c r="E14" s="47" t="n">
        <f aca="false">E12+E13</f>
        <v>48.636</v>
      </c>
      <c r="F14" s="47" t="n">
        <f aca="false">F12+F13</f>
        <v>78.165</v>
      </c>
      <c r="G14" s="47" t="n">
        <f aca="false">G12+G13</f>
        <v>165.208</v>
      </c>
    </row>
    <row r="16" customFormat="false" ht="15" hidden="false" customHeight="false" outlineLevel="0" collapsed="false">
      <c r="A16" s="4" t="s">
        <v>203</v>
      </c>
      <c r="B16" s="40" t="n">
        <f aca="false">B14/B5</f>
        <v>0.0315</v>
      </c>
      <c r="C16" s="40" t="n">
        <f aca="false">C14/C5</f>
        <v>0.050625</v>
      </c>
      <c r="D16" s="40" t="n">
        <f aca="false">D14/D5</f>
        <v>0.107</v>
      </c>
      <c r="E16" s="41" t="n">
        <f aca="false">E14/B5</f>
        <v>3.03975</v>
      </c>
      <c r="F16" s="41" t="n">
        <f aca="false">F14/C5</f>
        <v>4.8853125</v>
      </c>
      <c r="G16" s="41" t="n">
        <f aca="false">G14/D5</f>
        <v>10.3255</v>
      </c>
    </row>
    <row r="17" customFormat="false" ht="15" hidden="false" customHeight="false" outlineLevel="0" collapsed="false">
      <c r="A17" s="4" t="s">
        <v>204</v>
      </c>
      <c r="B17" s="40" t="n">
        <f aca="false">B14/B6</f>
        <v>0.007875</v>
      </c>
      <c r="C17" s="40" t="n">
        <f aca="false">C14/C6</f>
        <v>0.01265625</v>
      </c>
      <c r="D17" s="40" t="n">
        <f aca="false">D14/D6</f>
        <v>0.02675</v>
      </c>
      <c r="E17" s="41" t="n">
        <f aca="false">E14/B6</f>
        <v>0.7599375</v>
      </c>
      <c r="F17" s="41" t="n">
        <f aca="false">F14/C6</f>
        <v>1.221328125</v>
      </c>
      <c r="G17" s="41" t="n">
        <f aca="false">G14/D6</f>
        <v>2.581375</v>
      </c>
    </row>
    <row r="19" customFormat="false" ht="15" hidden="false" customHeight="false" outlineLevel="0" collapsed="false">
      <c r="A19" s="3" t="s">
        <v>205</v>
      </c>
    </row>
    <row r="20" customFormat="false" ht="15" hidden="false" customHeight="false" outlineLevel="0" collapsed="false">
      <c r="A20" s="2" t="s">
        <v>206</v>
      </c>
    </row>
    <row r="21" customFormat="false" ht="15" hidden="false" customHeight="false" outlineLevel="0" collapsed="false">
      <c r="A21" s="2" t="s">
        <v>207</v>
      </c>
    </row>
    <row r="22" customFormat="false" ht="15" hidden="false" customHeight="false" outlineLevel="0" collapsed="false">
      <c r="A22" s="2" t="s">
        <v>208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8"/>
    <col collapsed="false" customWidth="true" hidden="false" outlineLevel="0" max="4" min="2" style="0" width="14"/>
    <col collapsed="false" customWidth="true" hidden="false" outlineLevel="0" max="5" min="5" style="0" width="95"/>
  </cols>
  <sheetData>
    <row r="1" customFormat="false" ht="19.7" hidden="false" customHeight="false" outlineLevel="0" collapsed="false">
      <c r="A1" s="1" t="s">
        <v>209</v>
      </c>
    </row>
    <row r="2" customFormat="false" ht="15" hidden="false" customHeight="false" outlineLevel="0" collapsed="false">
      <c r="A2" s="2" t="s">
        <v>210</v>
      </c>
    </row>
    <row r="3" customFormat="false" ht="15" hidden="false" customHeight="false" outlineLevel="0" collapsed="false">
      <c r="A3" s="3" t="s">
        <v>211</v>
      </c>
    </row>
    <row r="4" customFormat="false" ht="15" hidden="false" customHeight="false" outlineLevel="0" collapsed="false">
      <c r="A4" s="4" t="s">
        <v>212</v>
      </c>
      <c r="B4" s="48" t="n">
        <v>46307</v>
      </c>
      <c r="E4" s="2" t="s">
        <v>213</v>
      </c>
    </row>
    <row r="5" customFormat="false" ht="15" hidden="false" customHeight="true" outlineLevel="0" collapsed="false">
      <c r="A5" s="4" t="s">
        <v>214</v>
      </c>
      <c r="B5" s="49" t="n">
        <v>96.5</v>
      </c>
      <c r="E5" s="2" t="s">
        <v>215</v>
      </c>
    </row>
    <row r="6" customFormat="false" ht="15" hidden="false" customHeight="false" outlineLevel="0" collapsed="false">
      <c r="A6" s="4" t="s">
        <v>216</v>
      </c>
      <c r="B6" s="50" t="n">
        <v>0</v>
      </c>
      <c r="E6" s="2" t="s">
        <v>217</v>
      </c>
    </row>
    <row r="7" customFormat="false" ht="15" hidden="false" customHeight="false" outlineLevel="0" collapsed="false">
      <c r="A7" s="4" t="s">
        <v>218</v>
      </c>
      <c r="B7" s="9" t="n">
        <f aca="false">MAX(Schedule!B5:B68)/(52/12)</f>
        <v>1.84615384615385</v>
      </c>
    </row>
    <row r="9" customFormat="false" ht="15" hidden="false" customHeight="false" outlineLevel="0" collapsed="false">
      <c r="A9" s="3" t="s">
        <v>219</v>
      </c>
    </row>
    <row r="10" customFormat="false" ht="15" hidden="false" customHeight="false" outlineLevel="0" collapsed="false">
      <c r="A10" s="10" t="s">
        <v>220</v>
      </c>
      <c r="B10" s="10" t="s">
        <v>16</v>
      </c>
      <c r="C10" s="10" t="s">
        <v>17</v>
      </c>
      <c r="D10" s="10" t="s">
        <v>18</v>
      </c>
      <c r="E10" s="10" t="s">
        <v>221</v>
      </c>
    </row>
    <row r="11" customFormat="false" ht="27.75" hidden="false" customHeight="true" outlineLevel="0" collapsed="false">
      <c r="A11" s="4" t="s">
        <v>222</v>
      </c>
      <c r="B11" s="51" t="n">
        <v>0.012</v>
      </c>
      <c r="C11" s="51" t="n">
        <v>0.015</v>
      </c>
      <c r="D11" s="51" t="n">
        <v>0.02</v>
      </c>
      <c r="E11" s="52" t="s">
        <v>223</v>
      </c>
    </row>
    <row r="12" customFormat="false" ht="27.75" hidden="false" customHeight="true" outlineLevel="0" collapsed="false">
      <c r="A12" s="4" t="s">
        <v>224</v>
      </c>
      <c r="B12" s="53" t="n">
        <v>0.013</v>
      </c>
      <c r="C12" s="53" t="n">
        <v>0.0175</v>
      </c>
      <c r="D12" s="53" t="n">
        <v>0.03</v>
      </c>
      <c r="E12" s="52" t="s">
        <v>225</v>
      </c>
    </row>
    <row r="13" customFormat="false" ht="27.75" hidden="false" customHeight="true" outlineLevel="0" collapsed="false">
      <c r="A13" s="4" t="s">
        <v>226</v>
      </c>
      <c r="B13" s="51" t="n">
        <v>0.004</v>
      </c>
      <c r="C13" s="51" t="n">
        <v>0.005</v>
      </c>
      <c r="D13" s="51" t="n">
        <v>0.008</v>
      </c>
      <c r="E13" s="52" t="s">
        <v>227</v>
      </c>
    </row>
    <row r="14" customFormat="false" ht="27.75" hidden="false" customHeight="true" outlineLevel="0" collapsed="false">
      <c r="A14" s="4" t="s">
        <v>228</v>
      </c>
      <c r="B14" s="54" t="n">
        <v>1</v>
      </c>
      <c r="C14" s="54" t="n">
        <v>2</v>
      </c>
      <c r="D14" s="54" t="n">
        <v>4</v>
      </c>
      <c r="E14" s="52" t="s">
        <v>229</v>
      </c>
    </row>
    <row r="15" customFormat="false" ht="27.75" hidden="false" customHeight="true" outlineLevel="0" collapsed="false">
      <c r="A15" s="4" t="s">
        <v>230</v>
      </c>
      <c r="B15" s="55" t="n">
        <v>0.1</v>
      </c>
      <c r="C15" s="55" t="n">
        <v>0.25</v>
      </c>
      <c r="D15" s="55" t="n">
        <v>0.5</v>
      </c>
      <c r="E15" s="52" t="s">
        <v>231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2026-09-30T06:55:37Z</dcterms:created>
  <dc:creator>openpyxl</dc:creator>
  <dc:description/>
  <dc:language>en-IN</dc:language>
  <cp:lastModifiedBy/>
  <dcterms:modified xsi:type="dcterms:W3CDTF">2026-09-30T06:55:37Z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